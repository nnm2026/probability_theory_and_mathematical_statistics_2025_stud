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rinterSettings/printerSettings1.bin" ContentType="application/vnd.openxmlformats-officedocument.spreadsheetml.printerSettings"/>
  <Override PartName="/xl/drawings/drawing6.xml" ContentType="application/vnd.openxmlformats-officedocument.drawing+xml"/>
  <Override PartName="/xl/printerSettings/printerSettings2.bin" ContentType="application/vnd.openxmlformats-officedocument.spreadsheetml.printerSettings"/>
  <Override PartName="/xl/drawings/drawing7.xml" ContentType="application/vnd.openxmlformats-officedocument.drawing+xml"/>
  <Override PartName="/xl/printerSettings/printerSettings3.bin" ContentType="application/vnd.openxmlformats-officedocument.spreadsheetml.printerSettings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rinterSettings/printerSettings4.bin" ContentType="application/vnd.openxmlformats-officedocument.spreadsheetml.printerSettings"/>
  <Override PartName="/xl/drawings/drawing11.xml" ContentType="application/vnd.openxmlformats-officedocument.drawing+xml"/>
  <Override PartName="/xl/drawings/drawing12.xml" ContentType="application/vnd.openxmlformats-officedocument.drawing+xml"/>
  <Override PartName="/xl/printerSettings/printerSettings5.bin" ContentType="application/vnd.openxmlformats-officedocument.spreadsheetml.printerSettings"/>
  <Override PartName="/xl/drawings/drawing13.xml" ContentType="application/vnd.openxmlformats-officedocument.drawing+xml"/>
  <Override PartName="/xl/drawings/drawing14.xml" ContentType="application/vnd.openxmlformats-officedocument.drawing+xml"/>
  <Override PartName="/xl/printerSettings/printerSettings6.bin" ContentType="application/vnd.openxmlformats-officedocument.spreadsheetml.printerSettings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printerSettings/printerSettings7.bin" ContentType="application/vnd.openxmlformats-officedocument.spreadsheetml.printerSettings"/>
  <Override PartName="/xl/drawings/drawing19.xml" ContentType="application/vnd.openxmlformats-officedocument.drawing+xml"/>
  <Override PartName="/xl/printerSettings/printerSettings8.bin" ContentType="application/vnd.openxmlformats-officedocument.spreadsheetml.printerSettings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printerSettings/printerSettings9.bin" ContentType="application/vnd.openxmlformats-officedocument.spreadsheetml.printerSettings"/>
  <Override PartName="/xl/drawings/drawing25.xml" ContentType="application/vnd.openxmlformats-officedocument.drawing+xml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drawings/drawing26.xml" ContentType="application/vnd.openxmlformats-officedocument.drawing+xml"/>
  <Override PartName="/xl/printerSettings/printerSettings12.bin" ContentType="application/vnd.openxmlformats-officedocument.spreadsheetml.printerSettings"/>
  <Override PartName="/xl/drawings/drawing27.xml" ContentType="application/vnd.openxmlformats-officedocument.drawing+xml"/>
  <Override PartName="/xl/drawings/drawing2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595" yWindow="420" windowWidth="14805" windowHeight="8010" firstSheet="31" activeTab="37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7 (2)" sheetId="8" r:id="rId8"/>
    <sheet name="Лист7 (3)" sheetId="10" r:id="rId9"/>
    <sheet name="Лист8" sheetId="9" r:id="rId10"/>
    <sheet name="Лист10" sheetId="11" r:id="rId11"/>
    <sheet name="Лист9" sheetId="12" r:id="rId12"/>
    <sheet name="Лист11" sheetId="13" r:id="rId13"/>
    <sheet name="Лист12" sheetId="14" r:id="rId14"/>
    <sheet name="Лист13" sheetId="15" r:id="rId15"/>
    <sheet name="Лист13 (2)" sheetId="16" r:id="rId16"/>
    <sheet name="Лист14" sheetId="17" r:id="rId17"/>
    <sheet name="Лаплас" sheetId="18" r:id="rId18"/>
    <sheet name="Х2распред" sheetId="19" r:id="rId19"/>
    <sheet name="Лист17" sheetId="20" r:id="rId20"/>
    <sheet name="Лист18" sheetId="21" r:id="rId21"/>
    <sheet name="pz1" sheetId="22" r:id="rId22"/>
    <sheet name="pz1 (2)" sheetId="23" r:id="rId23"/>
    <sheet name="pz1 (3)" sheetId="24" r:id="rId24"/>
    <sheet name="pz3" sheetId="25" r:id="rId25"/>
    <sheet name="pz4" sheetId="26" r:id="rId26"/>
    <sheet name="pz4 (2)" sheetId="27" r:id="rId27"/>
    <sheet name="pz5" sheetId="30" r:id="rId28"/>
    <sheet name="pz6" sheetId="28" r:id="rId29"/>
    <sheet name="pz9" sheetId="29" r:id="rId30"/>
    <sheet name="pz10" sheetId="31" r:id="rId31"/>
    <sheet name="pz11" sheetId="32" r:id="rId32"/>
    <sheet name="pz12" sheetId="33" r:id="rId33"/>
    <sheet name="pz12 (2)" sheetId="34" r:id="rId34"/>
    <sheet name="pz12 (3)" sheetId="35" r:id="rId35"/>
    <sheet name="pz12 (4)" sheetId="36" r:id="rId36"/>
    <sheet name="pz13" sheetId="37" r:id="rId37"/>
    <sheet name="Лист15" sheetId="38" r:id="rId38"/>
  </sheets>
  <calcPr calcId="145621"/>
</workbook>
</file>

<file path=xl/calcChain.xml><?xml version="1.0" encoding="utf-8"?>
<calcChain xmlns="http://schemas.openxmlformats.org/spreadsheetml/2006/main">
  <c r="B2" i="38" l="1"/>
  <c r="R51" i="37" l="1"/>
  <c r="Q51" i="37"/>
  <c r="P51" i="37"/>
  <c r="O51" i="37"/>
  <c r="N51" i="37"/>
  <c r="M51" i="37"/>
  <c r="L51" i="37"/>
  <c r="R50" i="37"/>
  <c r="Q50" i="37"/>
  <c r="P50" i="37"/>
  <c r="O50" i="37"/>
  <c r="N50" i="37"/>
  <c r="M50" i="37"/>
  <c r="L50" i="37"/>
  <c r="R49" i="37"/>
  <c r="Q49" i="37"/>
  <c r="P49" i="37"/>
  <c r="O49" i="37"/>
  <c r="N49" i="37"/>
  <c r="M49" i="37"/>
  <c r="L49" i="37"/>
  <c r="R48" i="37"/>
  <c r="Q48" i="37"/>
  <c r="P48" i="37"/>
  <c r="O48" i="37"/>
  <c r="N48" i="37"/>
  <c r="M48" i="37"/>
  <c r="L48" i="37"/>
  <c r="R47" i="37"/>
  <c r="Q47" i="37"/>
  <c r="P47" i="37"/>
  <c r="O47" i="37"/>
  <c r="N47" i="37"/>
  <c r="M47" i="37"/>
  <c r="L47" i="37"/>
  <c r="R46" i="37"/>
  <c r="Q46" i="37"/>
  <c r="P46" i="37"/>
  <c r="O46" i="37"/>
  <c r="N46" i="37"/>
  <c r="M46" i="37"/>
  <c r="L46" i="37"/>
  <c r="R45" i="37"/>
  <c r="Q45" i="37"/>
  <c r="P45" i="37"/>
  <c r="O45" i="37"/>
  <c r="N45" i="37"/>
  <c r="M45" i="37"/>
  <c r="L45" i="37"/>
  <c r="R44" i="37"/>
  <c r="Q44" i="37"/>
  <c r="P44" i="37"/>
  <c r="O44" i="37"/>
  <c r="N44" i="37"/>
  <c r="M44" i="37"/>
  <c r="L44" i="37"/>
  <c r="R43" i="37"/>
  <c r="Q43" i="37"/>
  <c r="P43" i="37"/>
  <c r="O43" i="37"/>
  <c r="N43" i="37"/>
  <c r="M43" i="37"/>
  <c r="L43" i="37"/>
  <c r="R42" i="37"/>
  <c r="Q42" i="37"/>
  <c r="P42" i="37"/>
  <c r="O42" i="37"/>
  <c r="N42" i="37"/>
  <c r="M42" i="37"/>
  <c r="L42" i="37"/>
  <c r="R41" i="37"/>
  <c r="Q41" i="37"/>
  <c r="P41" i="37"/>
  <c r="O41" i="37"/>
  <c r="N41" i="37"/>
  <c r="M41" i="37"/>
  <c r="L41" i="37"/>
  <c r="R40" i="37"/>
  <c r="Q40" i="37"/>
  <c r="P40" i="37"/>
  <c r="O40" i="37"/>
  <c r="N40" i="37"/>
  <c r="M40" i="37"/>
  <c r="L40" i="37"/>
  <c r="R39" i="37"/>
  <c r="Q39" i="37"/>
  <c r="P39" i="37"/>
  <c r="O39" i="37"/>
  <c r="N39" i="37"/>
  <c r="M39" i="37"/>
  <c r="L39" i="37"/>
  <c r="C40" i="37"/>
  <c r="D40" i="37"/>
  <c r="E40" i="37"/>
  <c r="F40" i="37"/>
  <c r="G40" i="37"/>
  <c r="H40" i="37"/>
  <c r="I40" i="37"/>
  <c r="C41" i="37"/>
  <c r="D41" i="37"/>
  <c r="E41" i="37"/>
  <c r="F41" i="37"/>
  <c r="G41" i="37"/>
  <c r="H41" i="37"/>
  <c r="I41" i="37"/>
  <c r="C42" i="37"/>
  <c r="D42" i="37"/>
  <c r="E42" i="37"/>
  <c r="F42" i="37"/>
  <c r="G42" i="37"/>
  <c r="H42" i="37"/>
  <c r="I42" i="37"/>
  <c r="C43" i="37"/>
  <c r="D43" i="37"/>
  <c r="E43" i="37"/>
  <c r="F43" i="37"/>
  <c r="G43" i="37"/>
  <c r="H43" i="37"/>
  <c r="I43" i="37"/>
  <c r="C44" i="37"/>
  <c r="D44" i="37"/>
  <c r="E44" i="37"/>
  <c r="F44" i="37"/>
  <c r="G44" i="37"/>
  <c r="H44" i="37"/>
  <c r="I44" i="37"/>
  <c r="C45" i="37"/>
  <c r="D45" i="37"/>
  <c r="E45" i="37"/>
  <c r="F45" i="37"/>
  <c r="G45" i="37"/>
  <c r="H45" i="37"/>
  <c r="I45" i="37"/>
  <c r="C46" i="37"/>
  <c r="D46" i="37"/>
  <c r="E46" i="37"/>
  <c r="F46" i="37"/>
  <c r="G46" i="37"/>
  <c r="H46" i="37"/>
  <c r="I46" i="37"/>
  <c r="C47" i="37"/>
  <c r="D47" i="37"/>
  <c r="E47" i="37"/>
  <c r="F47" i="37"/>
  <c r="G47" i="37"/>
  <c r="H47" i="37"/>
  <c r="I47" i="37"/>
  <c r="C48" i="37"/>
  <c r="D48" i="37"/>
  <c r="E48" i="37"/>
  <c r="F48" i="37"/>
  <c r="G48" i="37"/>
  <c r="H48" i="37"/>
  <c r="I48" i="37"/>
  <c r="C49" i="37"/>
  <c r="D49" i="37"/>
  <c r="E49" i="37"/>
  <c r="F49" i="37"/>
  <c r="G49" i="37"/>
  <c r="H49" i="37"/>
  <c r="I49" i="37"/>
  <c r="C50" i="37"/>
  <c r="D50" i="37"/>
  <c r="E50" i="37"/>
  <c r="F50" i="37"/>
  <c r="G50" i="37"/>
  <c r="H50" i="37"/>
  <c r="I50" i="37"/>
  <c r="C51" i="37"/>
  <c r="D51" i="37"/>
  <c r="E51" i="37"/>
  <c r="F51" i="37"/>
  <c r="G51" i="37"/>
  <c r="H51" i="37"/>
  <c r="I51" i="37"/>
  <c r="C52" i="37"/>
  <c r="D52" i="37"/>
  <c r="E52" i="37"/>
  <c r="F52" i="37"/>
  <c r="G52" i="37"/>
  <c r="H52" i="37"/>
  <c r="I52" i="37"/>
  <c r="C53" i="37"/>
  <c r="D53" i="37"/>
  <c r="E53" i="37"/>
  <c r="F53" i="37"/>
  <c r="G53" i="37"/>
  <c r="H53" i="37"/>
  <c r="I53" i="37"/>
  <c r="C54" i="37"/>
  <c r="D54" i="37"/>
  <c r="E54" i="37"/>
  <c r="F54" i="37"/>
  <c r="G54" i="37"/>
  <c r="H54" i="37"/>
  <c r="I54" i="37"/>
  <c r="C55" i="37"/>
  <c r="D55" i="37"/>
  <c r="E55" i="37"/>
  <c r="F55" i="37"/>
  <c r="G55" i="37"/>
  <c r="H55" i="37"/>
  <c r="I55" i="37"/>
  <c r="C56" i="37"/>
  <c r="D56" i="37"/>
  <c r="E56" i="37"/>
  <c r="F56" i="37"/>
  <c r="G56" i="37"/>
  <c r="H56" i="37"/>
  <c r="I56" i="37"/>
  <c r="C57" i="37"/>
  <c r="D57" i="37"/>
  <c r="E57" i="37"/>
  <c r="F57" i="37"/>
  <c r="G57" i="37"/>
  <c r="H57" i="37"/>
  <c r="I57" i="37"/>
  <c r="C58" i="37"/>
  <c r="D58" i="37"/>
  <c r="E58" i="37"/>
  <c r="F58" i="37"/>
  <c r="G58" i="37"/>
  <c r="H58" i="37"/>
  <c r="I58" i="37"/>
  <c r="C59" i="37"/>
  <c r="D59" i="37"/>
  <c r="E59" i="37"/>
  <c r="F59" i="37"/>
  <c r="G59" i="37"/>
  <c r="H59" i="37"/>
  <c r="I59" i="37"/>
  <c r="C60" i="37"/>
  <c r="D60" i="37"/>
  <c r="E60" i="37"/>
  <c r="F60" i="37"/>
  <c r="G60" i="37"/>
  <c r="H60" i="37"/>
  <c r="I60" i="37"/>
  <c r="C61" i="37"/>
  <c r="D61" i="37"/>
  <c r="E61" i="37"/>
  <c r="F61" i="37"/>
  <c r="G61" i="37"/>
  <c r="H61" i="37"/>
  <c r="I61" i="37"/>
  <c r="C62" i="37"/>
  <c r="D62" i="37"/>
  <c r="E62" i="37"/>
  <c r="F62" i="37"/>
  <c r="G62" i="37"/>
  <c r="H62" i="37"/>
  <c r="I62" i="37"/>
  <c r="C63" i="37"/>
  <c r="D63" i="37"/>
  <c r="E63" i="37"/>
  <c r="F63" i="37"/>
  <c r="G63" i="37"/>
  <c r="H63" i="37"/>
  <c r="I63" i="37"/>
  <c r="C64" i="37"/>
  <c r="D64" i="37"/>
  <c r="E64" i="37"/>
  <c r="F64" i="37"/>
  <c r="G64" i="37"/>
  <c r="H64" i="37"/>
  <c r="I64" i="37"/>
  <c r="I39" i="37"/>
  <c r="H39" i="37"/>
  <c r="G39" i="37"/>
  <c r="F39" i="37"/>
  <c r="E39" i="37"/>
  <c r="C39" i="37"/>
  <c r="D39" i="37"/>
  <c r="R19" i="37"/>
  <c r="Q19" i="37"/>
  <c r="P19" i="37"/>
  <c r="O19" i="37"/>
  <c r="N19" i="37"/>
  <c r="M19" i="37"/>
  <c r="L19" i="37"/>
  <c r="R18" i="37"/>
  <c r="Q18" i="37"/>
  <c r="P18" i="37"/>
  <c r="O18" i="37"/>
  <c r="N18" i="37"/>
  <c r="M18" i="37"/>
  <c r="L18" i="37"/>
  <c r="R17" i="37"/>
  <c r="Q17" i="37"/>
  <c r="P17" i="37"/>
  <c r="O17" i="37"/>
  <c r="N17" i="37"/>
  <c r="M17" i="37"/>
  <c r="L17" i="37"/>
  <c r="R16" i="37"/>
  <c r="Q16" i="37"/>
  <c r="P16" i="37"/>
  <c r="O16" i="37"/>
  <c r="N16" i="37"/>
  <c r="M16" i="37"/>
  <c r="L16" i="37"/>
  <c r="R15" i="37"/>
  <c r="Q15" i="37"/>
  <c r="P15" i="37"/>
  <c r="O15" i="37"/>
  <c r="N15" i="37"/>
  <c r="M15" i="37"/>
  <c r="L15" i="37"/>
  <c r="R14" i="37"/>
  <c r="Q14" i="37"/>
  <c r="P14" i="37"/>
  <c r="O14" i="37"/>
  <c r="N14" i="37"/>
  <c r="M14" i="37"/>
  <c r="L14" i="37"/>
  <c r="R13" i="37"/>
  <c r="Q13" i="37"/>
  <c r="P13" i="37"/>
  <c r="O13" i="37"/>
  <c r="N13" i="37"/>
  <c r="M13" i="37"/>
  <c r="L13" i="37"/>
  <c r="R12" i="37"/>
  <c r="Q12" i="37"/>
  <c r="P12" i="37"/>
  <c r="O12" i="37"/>
  <c r="N12" i="37"/>
  <c r="M12" i="37"/>
  <c r="L12" i="37"/>
  <c r="R11" i="37"/>
  <c r="Q11" i="37"/>
  <c r="P11" i="37"/>
  <c r="O11" i="37"/>
  <c r="N11" i="37"/>
  <c r="M11" i="37"/>
  <c r="L11" i="37"/>
  <c r="R10" i="37"/>
  <c r="Q10" i="37"/>
  <c r="P10" i="37"/>
  <c r="O10" i="37"/>
  <c r="N10" i="37"/>
  <c r="M10" i="37"/>
  <c r="L10" i="37"/>
  <c r="R9" i="37"/>
  <c r="Q9" i="37"/>
  <c r="P9" i="37"/>
  <c r="O9" i="37"/>
  <c r="N9" i="37"/>
  <c r="M9" i="37"/>
  <c r="L9" i="37"/>
  <c r="R8" i="37"/>
  <c r="Q8" i="37"/>
  <c r="P8" i="37"/>
  <c r="O8" i="37"/>
  <c r="N8" i="37"/>
  <c r="M8" i="37"/>
  <c r="L8" i="37"/>
  <c r="R7" i="37"/>
  <c r="Q7" i="37"/>
  <c r="P7" i="37"/>
  <c r="O7" i="37"/>
  <c r="N7" i="37"/>
  <c r="M7" i="37"/>
  <c r="L7" i="37"/>
  <c r="C32" i="37"/>
  <c r="D32" i="37"/>
  <c r="E32" i="37"/>
  <c r="F32" i="37"/>
  <c r="G32" i="37"/>
  <c r="H32" i="37"/>
  <c r="I32" i="37"/>
  <c r="C8" i="37"/>
  <c r="D8" i="37"/>
  <c r="E8" i="37"/>
  <c r="F8" i="37"/>
  <c r="G8" i="37"/>
  <c r="H8" i="37"/>
  <c r="I8" i="37"/>
  <c r="C9" i="37"/>
  <c r="D9" i="37"/>
  <c r="E9" i="37"/>
  <c r="F9" i="37"/>
  <c r="G9" i="37"/>
  <c r="H9" i="37"/>
  <c r="I9" i="37"/>
  <c r="C10" i="37"/>
  <c r="D10" i="37"/>
  <c r="E10" i="37"/>
  <c r="F10" i="37"/>
  <c r="G10" i="37"/>
  <c r="H10" i="37"/>
  <c r="I10" i="37"/>
  <c r="C11" i="37"/>
  <c r="D11" i="37"/>
  <c r="E11" i="37"/>
  <c r="F11" i="37"/>
  <c r="G11" i="37"/>
  <c r="H11" i="37"/>
  <c r="I11" i="37"/>
  <c r="C12" i="37"/>
  <c r="D12" i="37"/>
  <c r="E12" i="37"/>
  <c r="F12" i="37"/>
  <c r="G12" i="37"/>
  <c r="H12" i="37"/>
  <c r="I12" i="37"/>
  <c r="C13" i="37"/>
  <c r="D13" i="37"/>
  <c r="E13" i="37"/>
  <c r="F13" i="37"/>
  <c r="G13" i="37"/>
  <c r="H13" i="37"/>
  <c r="I13" i="37"/>
  <c r="C14" i="37"/>
  <c r="D14" i="37"/>
  <c r="E14" i="37"/>
  <c r="F14" i="37"/>
  <c r="G14" i="37"/>
  <c r="H14" i="37"/>
  <c r="I14" i="37"/>
  <c r="C15" i="37"/>
  <c r="D15" i="37"/>
  <c r="E15" i="37"/>
  <c r="F15" i="37"/>
  <c r="G15" i="37"/>
  <c r="H15" i="37"/>
  <c r="I15" i="37"/>
  <c r="C16" i="37"/>
  <c r="D16" i="37"/>
  <c r="E16" i="37"/>
  <c r="F16" i="37"/>
  <c r="G16" i="37"/>
  <c r="H16" i="37"/>
  <c r="I16" i="37"/>
  <c r="C17" i="37"/>
  <c r="D17" i="37"/>
  <c r="E17" i="37"/>
  <c r="F17" i="37"/>
  <c r="G17" i="37"/>
  <c r="H17" i="37"/>
  <c r="I17" i="37"/>
  <c r="C18" i="37"/>
  <c r="D18" i="37"/>
  <c r="E18" i="37"/>
  <c r="F18" i="37"/>
  <c r="G18" i="37"/>
  <c r="H18" i="37"/>
  <c r="I18" i="37"/>
  <c r="C19" i="37"/>
  <c r="D19" i="37"/>
  <c r="E19" i="37"/>
  <c r="F19" i="37"/>
  <c r="G19" i="37"/>
  <c r="H19" i="37"/>
  <c r="I19" i="37"/>
  <c r="C20" i="37"/>
  <c r="D20" i="37"/>
  <c r="E20" i="37"/>
  <c r="F20" i="37"/>
  <c r="G20" i="37"/>
  <c r="H20" i="37"/>
  <c r="I20" i="37"/>
  <c r="C21" i="37"/>
  <c r="D21" i="37"/>
  <c r="E21" i="37"/>
  <c r="F21" i="37"/>
  <c r="G21" i="37"/>
  <c r="H21" i="37"/>
  <c r="I21" i="37"/>
  <c r="C22" i="37"/>
  <c r="D22" i="37"/>
  <c r="E22" i="37"/>
  <c r="F22" i="37"/>
  <c r="G22" i="37"/>
  <c r="H22" i="37"/>
  <c r="I22" i="37"/>
  <c r="C23" i="37"/>
  <c r="D23" i="37"/>
  <c r="E23" i="37"/>
  <c r="F23" i="37"/>
  <c r="G23" i="37"/>
  <c r="H23" i="37"/>
  <c r="I23" i="37"/>
  <c r="C24" i="37"/>
  <c r="D24" i="37"/>
  <c r="E24" i="37"/>
  <c r="F24" i="37"/>
  <c r="G24" i="37"/>
  <c r="H24" i="37"/>
  <c r="I24" i="37"/>
  <c r="C25" i="37"/>
  <c r="D25" i="37"/>
  <c r="E25" i="37"/>
  <c r="F25" i="37"/>
  <c r="G25" i="37"/>
  <c r="H25" i="37"/>
  <c r="I25" i="37"/>
  <c r="C26" i="37"/>
  <c r="D26" i="37"/>
  <c r="E26" i="37"/>
  <c r="F26" i="37"/>
  <c r="G26" i="37"/>
  <c r="H26" i="37"/>
  <c r="I26" i="37"/>
  <c r="C27" i="37"/>
  <c r="D27" i="37"/>
  <c r="E27" i="37"/>
  <c r="F27" i="37"/>
  <c r="G27" i="37"/>
  <c r="H27" i="37"/>
  <c r="I27" i="37"/>
  <c r="C28" i="37"/>
  <c r="D28" i="37"/>
  <c r="E28" i="37"/>
  <c r="F28" i="37"/>
  <c r="G28" i="37"/>
  <c r="H28" i="37"/>
  <c r="I28" i="37"/>
  <c r="C29" i="37"/>
  <c r="D29" i="37"/>
  <c r="E29" i="37"/>
  <c r="F29" i="37"/>
  <c r="G29" i="37"/>
  <c r="H29" i="37"/>
  <c r="I29" i="37"/>
  <c r="C30" i="37"/>
  <c r="D30" i="37"/>
  <c r="E30" i="37"/>
  <c r="F30" i="37"/>
  <c r="G30" i="37"/>
  <c r="H30" i="37"/>
  <c r="I30" i="37"/>
  <c r="C31" i="37"/>
  <c r="D31" i="37"/>
  <c r="E31" i="37"/>
  <c r="F31" i="37"/>
  <c r="G31" i="37"/>
  <c r="H31" i="37"/>
  <c r="I31" i="37"/>
  <c r="I7" i="37"/>
  <c r="C7" i="37"/>
  <c r="D7" i="37"/>
  <c r="H7" i="37"/>
  <c r="F7" i="37"/>
  <c r="G7" i="37"/>
  <c r="E7" i="37"/>
  <c r="BS12" i="36" l="1"/>
  <c r="BR12" i="36"/>
  <c r="BQ12" i="36"/>
  <c r="BP12" i="36"/>
  <c r="BS11" i="36"/>
  <c r="BR11" i="36"/>
  <c r="BQ11" i="36"/>
  <c r="BP11" i="36"/>
  <c r="BS10" i="36"/>
  <c r="BR10" i="36"/>
  <c r="BQ10" i="36"/>
  <c r="BP10" i="36"/>
  <c r="BS9" i="36"/>
  <c r="BR9" i="36"/>
  <c r="BQ9" i="36"/>
  <c r="BP9" i="36"/>
  <c r="BS8" i="36"/>
  <c r="BR8" i="36"/>
  <c r="BQ8" i="36"/>
  <c r="BP8" i="36"/>
  <c r="BS7" i="36"/>
  <c r="BR7" i="36"/>
  <c r="BQ7" i="36"/>
  <c r="BP7" i="36"/>
  <c r="BS6" i="36"/>
  <c r="BR6" i="36"/>
  <c r="BQ6" i="36"/>
  <c r="BP6" i="36"/>
  <c r="BS5" i="36"/>
  <c r="BR5" i="36"/>
  <c r="BQ5" i="36"/>
  <c r="BP5" i="36"/>
  <c r="BL13" i="36"/>
  <c r="BK13" i="36"/>
  <c r="BJ13" i="36"/>
  <c r="BI13" i="36"/>
  <c r="BL12" i="36"/>
  <c r="BK12" i="36"/>
  <c r="BJ12" i="36"/>
  <c r="BI12" i="36"/>
  <c r="BL11" i="36"/>
  <c r="BK11" i="36"/>
  <c r="BJ11" i="36"/>
  <c r="BI11" i="36"/>
  <c r="BL10" i="36"/>
  <c r="BK10" i="36"/>
  <c r="BJ10" i="36"/>
  <c r="BI10" i="36"/>
  <c r="BL9" i="36"/>
  <c r="BK9" i="36"/>
  <c r="BJ9" i="36"/>
  <c r="BI9" i="36"/>
  <c r="BL8" i="36"/>
  <c r="BK8" i="36"/>
  <c r="BJ8" i="36"/>
  <c r="BI8" i="36"/>
  <c r="BL7" i="36"/>
  <c r="BK7" i="36"/>
  <c r="BJ7" i="36"/>
  <c r="BI7" i="36"/>
  <c r="BL6" i="36"/>
  <c r="BK6" i="36"/>
  <c r="BJ6" i="36"/>
  <c r="BI6" i="36"/>
  <c r="BL5" i="36"/>
  <c r="BK5" i="36"/>
  <c r="BJ5" i="36"/>
  <c r="BI5" i="36"/>
  <c r="BB6" i="36"/>
  <c r="BC6" i="36"/>
  <c r="BD6" i="36"/>
  <c r="BE6" i="36"/>
  <c r="BB7" i="36"/>
  <c r="BC7" i="36"/>
  <c r="BD7" i="36"/>
  <c r="BE7" i="36"/>
  <c r="BB8" i="36"/>
  <c r="BC8" i="36"/>
  <c r="BD8" i="36"/>
  <c r="BE8" i="36"/>
  <c r="BB9" i="36"/>
  <c r="BC9" i="36"/>
  <c r="BD9" i="36"/>
  <c r="BE9" i="36"/>
  <c r="BB10" i="36"/>
  <c r="BC10" i="36"/>
  <c r="BD10" i="36"/>
  <c r="BE10" i="36"/>
  <c r="BB11" i="36"/>
  <c r="BC11" i="36"/>
  <c r="BD11" i="36"/>
  <c r="BE11" i="36"/>
  <c r="BB12" i="36"/>
  <c r="BC12" i="36"/>
  <c r="BD12" i="36"/>
  <c r="BE12" i="36"/>
  <c r="BB13" i="36"/>
  <c r="BC13" i="36"/>
  <c r="BD13" i="36"/>
  <c r="BE13" i="36"/>
  <c r="BB14" i="36"/>
  <c r="BC14" i="36"/>
  <c r="BD14" i="36"/>
  <c r="BE14" i="36"/>
  <c r="BB15" i="36"/>
  <c r="BC15" i="36"/>
  <c r="BD15" i="36"/>
  <c r="BE15" i="36"/>
  <c r="BB16" i="36"/>
  <c r="BC16" i="36"/>
  <c r="BD16" i="36"/>
  <c r="BE16" i="36"/>
  <c r="BB17" i="36"/>
  <c r="BC17" i="36"/>
  <c r="BD17" i="36"/>
  <c r="BE17" i="36"/>
  <c r="BB18" i="36"/>
  <c r="BC18" i="36"/>
  <c r="BD18" i="36"/>
  <c r="BE18" i="36"/>
  <c r="BB19" i="36"/>
  <c r="BC19" i="36"/>
  <c r="BD19" i="36"/>
  <c r="BE19" i="36"/>
  <c r="BB20" i="36"/>
  <c r="BC20" i="36"/>
  <c r="BD20" i="36"/>
  <c r="BE20" i="36"/>
  <c r="BB21" i="36"/>
  <c r="BC21" i="36"/>
  <c r="BD21" i="36"/>
  <c r="BE21" i="36"/>
  <c r="BB22" i="36"/>
  <c r="BC22" i="36"/>
  <c r="BD22" i="36"/>
  <c r="BE22" i="36"/>
  <c r="BB23" i="36"/>
  <c r="BC23" i="36"/>
  <c r="BD23" i="36"/>
  <c r="BE23" i="36"/>
  <c r="BB24" i="36"/>
  <c r="BC24" i="36"/>
  <c r="BD24" i="36"/>
  <c r="BE24" i="36"/>
  <c r="BB25" i="36"/>
  <c r="BC25" i="36"/>
  <c r="BD25" i="36"/>
  <c r="BE25" i="36"/>
  <c r="BB26" i="36"/>
  <c r="BC26" i="36"/>
  <c r="BD26" i="36"/>
  <c r="BE26" i="36"/>
  <c r="BB27" i="36"/>
  <c r="BC27" i="36"/>
  <c r="BD27" i="36"/>
  <c r="BE27" i="36"/>
  <c r="BB28" i="36"/>
  <c r="BC28" i="36"/>
  <c r="BD28" i="36"/>
  <c r="BE28" i="36"/>
  <c r="BB29" i="36"/>
  <c r="BC29" i="36"/>
  <c r="BD29" i="36"/>
  <c r="BE29" i="36"/>
  <c r="BB30" i="36"/>
  <c r="BC30" i="36"/>
  <c r="BD30" i="36"/>
  <c r="BE30" i="36"/>
  <c r="BE5" i="36"/>
  <c r="BD5" i="36"/>
  <c r="BC5" i="36"/>
  <c r="BB5" i="36"/>
  <c r="AT6" i="36"/>
  <c r="AU6" i="36"/>
  <c r="AV6" i="36"/>
  <c r="AW6" i="36"/>
  <c r="AT7" i="36"/>
  <c r="AU7" i="36"/>
  <c r="AV7" i="36"/>
  <c r="AW7" i="36"/>
  <c r="AT8" i="36"/>
  <c r="AU8" i="36"/>
  <c r="AV8" i="36"/>
  <c r="AW8" i="36"/>
  <c r="AT9" i="36"/>
  <c r="AU9" i="36"/>
  <c r="AV9" i="36"/>
  <c r="AW9" i="36"/>
  <c r="AT10" i="36"/>
  <c r="AU10" i="36"/>
  <c r="AV10" i="36"/>
  <c r="AW10" i="36"/>
  <c r="AT11" i="36"/>
  <c r="AU11" i="36"/>
  <c r="AV11" i="36"/>
  <c r="AW11" i="36"/>
  <c r="AT12" i="36"/>
  <c r="AU12" i="36"/>
  <c r="AV12" i="36"/>
  <c r="AW12" i="36"/>
  <c r="AT13" i="36"/>
  <c r="AU13" i="36"/>
  <c r="AV13" i="36"/>
  <c r="AW13" i="36"/>
  <c r="AT14" i="36"/>
  <c r="AU14" i="36"/>
  <c r="AV14" i="36"/>
  <c r="AW14" i="36"/>
  <c r="AT15" i="36"/>
  <c r="AU15" i="36"/>
  <c r="AV15" i="36"/>
  <c r="AW15" i="36"/>
  <c r="AT16" i="36"/>
  <c r="AU16" i="36"/>
  <c r="AV16" i="36"/>
  <c r="AW16" i="36"/>
  <c r="AT17" i="36"/>
  <c r="AU17" i="36"/>
  <c r="AV17" i="36"/>
  <c r="AW17" i="36"/>
  <c r="AT18" i="36"/>
  <c r="AU18" i="36"/>
  <c r="AV18" i="36"/>
  <c r="AW18" i="36"/>
  <c r="AT19" i="36"/>
  <c r="AU19" i="36"/>
  <c r="AV19" i="36"/>
  <c r="AW19" i="36"/>
  <c r="AT20" i="36"/>
  <c r="AU20" i="36"/>
  <c r="AV20" i="36"/>
  <c r="AW20" i="36"/>
  <c r="AT21" i="36"/>
  <c r="AU21" i="36"/>
  <c r="AV21" i="36"/>
  <c r="AW21" i="36"/>
  <c r="AT22" i="36"/>
  <c r="AU22" i="36"/>
  <c r="AV22" i="36"/>
  <c r="AW22" i="36"/>
  <c r="AT23" i="36"/>
  <c r="AU23" i="36"/>
  <c r="AV23" i="36"/>
  <c r="AW23" i="36"/>
  <c r="AT24" i="36"/>
  <c r="AU24" i="36"/>
  <c r="AV24" i="36"/>
  <c r="AW24" i="36"/>
  <c r="AT25" i="36"/>
  <c r="AU25" i="36"/>
  <c r="AV25" i="36"/>
  <c r="AW25" i="36"/>
  <c r="AT26" i="36"/>
  <c r="AU26" i="36"/>
  <c r="AV26" i="36"/>
  <c r="AW26" i="36"/>
  <c r="AT27" i="36"/>
  <c r="AU27" i="36"/>
  <c r="AV27" i="36"/>
  <c r="AW27" i="36"/>
  <c r="AT28" i="36"/>
  <c r="AU28" i="36"/>
  <c r="AV28" i="36"/>
  <c r="AW28" i="36"/>
  <c r="AT29" i="36"/>
  <c r="AU29" i="36"/>
  <c r="AV29" i="36"/>
  <c r="AW29" i="36"/>
  <c r="AT30" i="36"/>
  <c r="AU30" i="36"/>
  <c r="AV30" i="36"/>
  <c r="AW30" i="36"/>
  <c r="AW5" i="36"/>
  <c r="AV5" i="36"/>
  <c r="AU5" i="36"/>
  <c r="AT5" i="36"/>
  <c r="AK17" i="36"/>
  <c r="AJ17" i="36"/>
  <c r="AK16" i="36"/>
  <c r="AJ16" i="36"/>
  <c r="AK15" i="36"/>
  <c r="AJ15" i="36"/>
  <c r="AK14" i="36"/>
  <c r="AJ14" i="36"/>
  <c r="AK13" i="36"/>
  <c r="AJ13" i="36"/>
  <c r="AK12" i="36"/>
  <c r="AJ12" i="36"/>
  <c r="AK11" i="36"/>
  <c r="AJ11" i="36"/>
  <c r="AK10" i="36"/>
  <c r="AJ10" i="36"/>
  <c r="AK9" i="36"/>
  <c r="AJ9" i="36"/>
  <c r="AK8" i="36"/>
  <c r="AJ8" i="36"/>
  <c r="AK7" i="36"/>
  <c r="AJ7" i="36"/>
  <c r="AK6" i="36"/>
  <c r="AJ6" i="36"/>
  <c r="AK5" i="36"/>
  <c r="AJ5" i="36"/>
  <c r="AP10" i="36"/>
  <c r="AO10" i="36"/>
  <c r="AP9" i="36"/>
  <c r="AO9" i="36"/>
  <c r="AP8" i="36"/>
  <c r="AO8" i="36"/>
  <c r="AP7" i="36"/>
  <c r="AO7" i="36"/>
  <c r="AP6" i="36"/>
  <c r="AO6" i="36"/>
  <c r="AP5" i="36"/>
  <c r="AO5" i="36"/>
  <c r="AE6" i="36"/>
  <c r="AE7" i="36"/>
  <c r="AE8" i="36"/>
  <c r="AE9" i="36"/>
  <c r="AE10" i="36"/>
  <c r="AE11" i="36"/>
  <c r="AE12" i="36"/>
  <c r="AE13" i="36"/>
  <c r="AE14" i="36"/>
  <c r="AE15" i="36"/>
  <c r="AE16" i="36"/>
  <c r="AE17" i="36"/>
  <c r="AE18" i="36"/>
  <c r="AE19" i="36"/>
  <c r="AE20" i="36"/>
  <c r="AE21" i="36"/>
  <c r="AE22" i="36"/>
  <c r="AE23" i="36"/>
  <c r="AE24" i="36"/>
  <c r="AE25" i="36"/>
  <c r="AE26" i="36"/>
  <c r="AE27" i="36"/>
  <c r="AE28" i="36"/>
  <c r="AE29" i="36"/>
  <c r="AE30" i="36"/>
  <c r="AE5" i="36"/>
  <c r="AF6" i="36"/>
  <c r="AF7" i="36"/>
  <c r="AF8" i="36"/>
  <c r="AF9" i="36"/>
  <c r="AF10" i="36"/>
  <c r="AF11" i="36"/>
  <c r="AF12" i="36"/>
  <c r="AF13" i="36"/>
  <c r="AF14" i="36"/>
  <c r="AF15" i="36"/>
  <c r="AF16" i="36"/>
  <c r="AF17" i="36"/>
  <c r="AF18" i="36"/>
  <c r="AF19" i="36"/>
  <c r="AF20" i="36"/>
  <c r="AF21" i="36"/>
  <c r="AF22" i="36"/>
  <c r="AF23" i="36"/>
  <c r="AF24" i="36"/>
  <c r="AF25" i="36"/>
  <c r="AF26" i="36"/>
  <c r="AF27" i="36"/>
  <c r="AF28" i="36"/>
  <c r="AF29" i="36"/>
  <c r="AF30" i="36"/>
  <c r="AF5" i="36"/>
  <c r="V56" i="36"/>
  <c r="U56" i="36"/>
  <c r="V55" i="36"/>
  <c r="U55" i="36"/>
  <c r="V54" i="36"/>
  <c r="U54" i="36"/>
  <c r="V53" i="36"/>
  <c r="U53" i="36"/>
  <c r="V52" i="36"/>
  <c r="U52" i="36"/>
  <c r="V51" i="36"/>
  <c r="U51" i="36"/>
  <c r="V50" i="36"/>
  <c r="U50" i="36"/>
  <c r="V49" i="36"/>
  <c r="U49" i="36"/>
  <c r="V48" i="36"/>
  <c r="U48" i="36"/>
  <c r="V47" i="36"/>
  <c r="U47" i="36"/>
  <c r="V46" i="36"/>
  <c r="U46" i="36"/>
  <c r="V45" i="36"/>
  <c r="U45" i="36"/>
  <c r="V44" i="36"/>
  <c r="U44" i="36"/>
  <c r="V43" i="36"/>
  <c r="U43" i="36"/>
  <c r="V42" i="36"/>
  <c r="U42" i="36"/>
  <c r="V41" i="36"/>
  <c r="U41" i="36"/>
  <c r="V40" i="36"/>
  <c r="U40" i="36"/>
  <c r="V39" i="36"/>
  <c r="U39" i="36"/>
  <c r="V38" i="36"/>
  <c r="U38" i="36"/>
  <c r="V37" i="36"/>
  <c r="U37" i="36"/>
  <c r="V36" i="36"/>
  <c r="U36" i="36"/>
  <c r="V35" i="36"/>
  <c r="U35" i="36"/>
  <c r="V34" i="36"/>
  <c r="U34" i="36"/>
  <c r="V33" i="36"/>
  <c r="U33" i="36"/>
  <c r="Q72" i="36"/>
  <c r="P72" i="36"/>
  <c r="Q71" i="36"/>
  <c r="P71" i="36"/>
  <c r="Q70" i="36"/>
  <c r="P70" i="36"/>
  <c r="Q69" i="36"/>
  <c r="P69" i="36"/>
  <c r="Q68" i="36"/>
  <c r="P68" i="36"/>
  <c r="Q67" i="36"/>
  <c r="P67" i="36"/>
  <c r="Q66" i="36"/>
  <c r="P66" i="36"/>
  <c r="Q65" i="36"/>
  <c r="P65" i="36"/>
  <c r="Q64" i="36"/>
  <c r="P64" i="36"/>
  <c r="Q63" i="36"/>
  <c r="P63" i="36"/>
  <c r="Q62" i="36"/>
  <c r="P62" i="36"/>
  <c r="Q61" i="36"/>
  <c r="P61" i="36"/>
  <c r="Q60" i="36"/>
  <c r="P60" i="36"/>
  <c r="Q59" i="36"/>
  <c r="P59" i="36"/>
  <c r="Q58" i="36"/>
  <c r="P58" i="36"/>
  <c r="Q57" i="36"/>
  <c r="P57" i="36"/>
  <c r="Q56" i="36"/>
  <c r="P56" i="36"/>
  <c r="Q55" i="36"/>
  <c r="P55" i="36"/>
  <c r="Q54" i="36"/>
  <c r="P54" i="36"/>
  <c r="Q53" i="36"/>
  <c r="P53" i="36"/>
  <c r="Q52" i="36"/>
  <c r="P52" i="36"/>
  <c r="Q51" i="36"/>
  <c r="P51" i="36"/>
  <c r="Q50" i="36"/>
  <c r="P50" i="36"/>
  <c r="Q49" i="36"/>
  <c r="P49" i="36"/>
  <c r="Q48" i="36"/>
  <c r="P48" i="36"/>
  <c r="Q47" i="36"/>
  <c r="P47" i="36"/>
  <c r="Q46" i="36"/>
  <c r="P46" i="36"/>
  <c r="Q45" i="36"/>
  <c r="P45" i="36"/>
  <c r="Q44" i="36"/>
  <c r="P44" i="36"/>
  <c r="Q43" i="36"/>
  <c r="P43" i="36"/>
  <c r="Q42" i="36"/>
  <c r="P42" i="36"/>
  <c r="Q41" i="36"/>
  <c r="P41" i="36"/>
  <c r="Q40" i="36"/>
  <c r="P40" i="36"/>
  <c r="Q39" i="36"/>
  <c r="P39" i="36"/>
  <c r="Q38" i="36"/>
  <c r="P38" i="36"/>
  <c r="Q37" i="36"/>
  <c r="P37" i="36"/>
  <c r="Q36" i="36"/>
  <c r="P36" i="36"/>
  <c r="Q35" i="36"/>
  <c r="P35" i="36"/>
  <c r="Q34" i="36"/>
  <c r="P34" i="36"/>
  <c r="Q33" i="36"/>
  <c r="P33" i="36"/>
  <c r="K37" i="36"/>
  <c r="L37" i="36"/>
  <c r="K38" i="36"/>
  <c r="L38" i="36"/>
  <c r="K39" i="36"/>
  <c r="L39" i="36"/>
  <c r="K40" i="36"/>
  <c r="L40" i="36"/>
  <c r="K41" i="36"/>
  <c r="L41" i="36"/>
  <c r="K42" i="36"/>
  <c r="L42" i="36"/>
  <c r="K43" i="36"/>
  <c r="L43" i="36"/>
  <c r="K44" i="36"/>
  <c r="L44" i="36"/>
  <c r="K45" i="36"/>
  <c r="L45" i="36"/>
  <c r="K46" i="36"/>
  <c r="L46" i="36"/>
  <c r="K47" i="36"/>
  <c r="L47" i="36"/>
  <c r="K48" i="36"/>
  <c r="L48" i="36"/>
  <c r="K49" i="36"/>
  <c r="L49" i="36"/>
  <c r="K50" i="36"/>
  <c r="L50" i="36"/>
  <c r="K51" i="36"/>
  <c r="L51" i="36"/>
  <c r="K52" i="36"/>
  <c r="L52" i="36"/>
  <c r="K53" i="36"/>
  <c r="L53" i="36"/>
  <c r="K54" i="36"/>
  <c r="L54" i="36"/>
  <c r="K55" i="36"/>
  <c r="L55" i="36"/>
  <c r="K56" i="36"/>
  <c r="L56" i="36"/>
  <c r="K57" i="36"/>
  <c r="L57" i="36"/>
  <c r="K58" i="36"/>
  <c r="L58" i="36"/>
  <c r="K59" i="36"/>
  <c r="L59" i="36"/>
  <c r="K60" i="36"/>
  <c r="L60" i="36"/>
  <c r="K61" i="36"/>
  <c r="L61" i="36"/>
  <c r="K62" i="36"/>
  <c r="L62" i="36"/>
  <c r="K63" i="36"/>
  <c r="L63" i="36"/>
  <c r="K64" i="36"/>
  <c r="L64" i="36"/>
  <c r="K65" i="36"/>
  <c r="L65" i="36"/>
  <c r="K66" i="36"/>
  <c r="L66" i="36"/>
  <c r="K67" i="36"/>
  <c r="L67" i="36"/>
  <c r="K68" i="36"/>
  <c r="L68" i="36"/>
  <c r="K69" i="36"/>
  <c r="L69" i="36"/>
  <c r="K70" i="36"/>
  <c r="L70" i="36"/>
  <c r="K71" i="36"/>
  <c r="L71" i="36"/>
  <c r="K72" i="36"/>
  <c r="L72" i="36"/>
  <c r="K73" i="36"/>
  <c r="L73" i="36"/>
  <c r="K74" i="36"/>
  <c r="L74" i="36"/>
  <c r="K75" i="36"/>
  <c r="L75" i="36"/>
  <c r="K76" i="36"/>
  <c r="L76" i="36"/>
  <c r="K77" i="36"/>
  <c r="L77" i="36"/>
  <c r="K78" i="36"/>
  <c r="L78" i="36"/>
  <c r="K79" i="36"/>
  <c r="L79" i="36"/>
  <c r="K80" i="36"/>
  <c r="L80" i="36"/>
  <c r="K81" i="36"/>
  <c r="L81" i="36"/>
  <c r="K82" i="36"/>
  <c r="L82" i="36"/>
  <c r="K83" i="36"/>
  <c r="L83" i="36"/>
  <c r="K84" i="36"/>
  <c r="L84" i="36"/>
  <c r="K85" i="36"/>
  <c r="L85" i="36"/>
  <c r="K86" i="36"/>
  <c r="L86" i="36"/>
  <c r="K87" i="36"/>
  <c r="L87" i="36"/>
  <c r="K88" i="36"/>
  <c r="L88" i="36"/>
  <c r="K89" i="36"/>
  <c r="L89" i="36"/>
  <c r="K90" i="36"/>
  <c r="L90" i="36"/>
  <c r="K91" i="36"/>
  <c r="L91" i="36"/>
  <c r="K92" i="36"/>
  <c r="L92" i="36"/>
  <c r="K93" i="36"/>
  <c r="L93" i="36"/>
  <c r="K94" i="36"/>
  <c r="L94" i="36"/>
  <c r="K95" i="36"/>
  <c r="L95" i="36"/>
  <c r="K96" i="36"/>
  <c r="L96" i="36"/>
  <c r="K97" i="36"/>
  <c r="L97" i="36"/>
  <c r="K98" i="36"/>
  <c r="L98" i="36"/>
  <c r="K99" i="36"/>
  <c r="L99" i="36"/>
  <c r="K100" i="36"/>
  <c r="L100" i="36"/>
  <c r="K101" i="36"/>
  <c r="L101" i="36"/>
  <c r="K102" i="36"/>
  <c r="L102" i="36"/>
  <c r="K103" i="36"/>
  <c r="L103" i="36"/>
  <c r="K104" i="36"/>
  <c r="L104" i="36"/>
  <c r="K105" i="36"/>
  <c r="L105" i="36"/>
  <c r="K106" i="36"/>
  <c r="L106" i="36"/>
  <c r="K107" i="36"/>
  <c r="L107" i="36"/>
  <c r="K108" i="36"/>
  <c r="L108" i="36"/>
  <c r="K109" i="36"/>
  <c r="L109" i="36"/>
  <c r="K110" i="36"/>
  <c r="L110" i="36"/>
  <c r="K111" i="36"/>
  <c r="L111" i="36"/>
  <c r="K112" i="36"/>
  <c r="L112" i="36"/>
  <c r="K113" i="36"/>
  <c r="L113" i="36"/>
  <c r="K114" i="36"/>
  <c r="L114" i="36"/>
  <c r="K115" i="36"/>
  <c r="L115" i="36"/>
  <c r="K116" i="36"/>
  <c r="L116" i="36"/>
  <c r="K117" i="36"/>
  <c r="L117" i="36"/>
  <c r="K118" i="36"/>
  <c r="L118" i="36"/>
  <c r="K119" i="36"/>
  <c r="L119" i="36"/>
  <c r="K120" i="36"/>
  <c r="L120" i="36"/>
  <c r="K121" i="36"/>
  <c r="L121" i="36"/>
  <c r="K122" i="36"/>
  <c r="L122" i="36"/>
  <c r="K123" i="36"/>
  <c r="L123" i="36"/>
  <c r="K124" i="36"/>
  <c r="L124" i="36"/>
  <c r="K125" i="36"/>
  <c r="L125" i="36"/>
  <c r="K126" i="36"/>
  <c r="L126" i="36"/>
  <c r="K127" i="36"/>
  <c r="L127" i="36"/>
  <c r="K128" i="36"/>
  <c r="L128" i="36"/>
  <c r="K129" i="36"/>
  <c r="L129" i="36"/>
  <c r="K130" i="36"/>
  <c r="L130" i="36"/>
  <c r="K131" i="36"/>
  <c r="L131" i="36"/>
  <c r="K132" i="36"/>
  <c r="L132" i="36"/>
  <c r="K133" i="36"/>
  <c r="L133" i="36"/>
  <c r="K134" i="36"/>
  <c r="L134" i="36"/>
  <c r="K135" i="36"/>
  <c r="L135" i="36"/>
  <c r="K136" i="36"/>
  <c r="L136" i="36"/>
  <c r="L34" i="36"/>
  <c r="L35" i="36"/>
  <c r="L36" i="36"/>
  <c r="L33" i="36"/>
  <c r="K34" i="36"/>
  <c r="K35" i="36"/>
  <c r="K36" i="36"/>
  <c r="K33" i="36"/>
  <c r="AA17" i="36"/>
  <c r="Z17" i="36"/>
  <c r="Y17" i="36"/>
  <c r="X17" i="36"/>
  <c r="AA16" i="36"/>
  <c r="Z16" i="36"/>
  <c r="Y16" i="36"/>
  <c r="X16" i="36"/>
  <c r="AA15" i="36"/>
  <c r="Z15" i="36"/>
  <c r="Y15" i="36"/>
  <c r="X15" i="36"/>
  <c r="AA14" i="36"/>
  <c r="Z14" i="36"/>
  <c r="Y14" i="36"/>
  <c r="X14" i="36"/>
  <c r="AA13" i="36"/>
  <c r="Z13" i="36"/>
  <c r="Y13" i="36"/>
  <c r="X13" i="36"/>
  <c r="AA12" i="36"/>
  <c r="Z12" i="36"/>
  <c r="Y12" i="36"/>
  <c r="X12" i="36"/>
  <c r="AA11" i="36"/>
  <c r="Z11" i="36"/>
  <c r="Y11" i="36"/>
  <c r="X11" i="36"/>
  <c r="AA10" i="36"/>
  <c r="Z10" i="36"/>
  <c r="Y10" i="36"/>
  <c r="X10" i="36"/>
  <c r="AA9" i="36"/>
  <c r="Z9" i="36"/>
  <c r="Y9" i="36"/>
  <c r="X9" i="36"/>
  <c r="AA8" i="36"/>
  <c r="Z8" i="36"/>
  <c r="Y8" i="36"/>
  <c r="X8" i="36"/>
  <c r="AA7" i="36"/>
  <c r="Z7" i="36"/>
  <c r="Y7" i="36"/>
  <c r="X7" i="36"/>
  <c r="AA6" i="36"/>
  <c r="Z6" i="36"/>
  <c r="Y6" i="36"/>
  <c r="X6" i="36"/>
  <c r="AA5" i="36"/>
  <c r="Z5" i="36"/>
  <c r="Y5" i="36"/>
  <c r="X5" i="36"/>
  <c r="Q6" i="36"/>
  <c r="R6" i="36"/>
  <c r="S6" i="36"/>
  <c r="T6" i="36"/>
  <c r="Q7" i="36"/>
  <c r="R7" i="36"/>
  <c r="S7" i="36"/>
  <c r="T7" i="36"/>
  <c r="Q8" i="36"/>
  <c r="R8" i="36"/>
  <c r="S8" i="36"/>
  <c r="T8" i="36"/>
  <c r="Q9" i="36"/>
  <c r="R9" i="36"/>
  <c r="S9" i="36"/>
  <c r="T9" i="36"/>
  <c r="Q10" i="36"/>
  <c r="R10" i="36"/>
  <c r="S10" i="36"/>
  <c r="T10" i="36"/>
  <c r="Q11" i="36"/>
  <c r="R11" i="36"/>
  <c r="S11" i="36"/>
  <c r="T11" i="36"/>
  <c r="Q12" i="36"/>
  <c r="R12" i="36"/>
  <c r="S12" i="36"/>
  <c r="T12" i="36"/>
  <c r="Q13" i="36"/>
  <c r="R13" i="36"/>
  <c r="S13" i="36"/>
  <c r="T13" i="36"/>
  <c r="Q14" i="36"/>
  <c r="R14" i="36"/>
  <c r="S14" i="36"/>
  <c r="T14" i="36"/>
  <c r="Q15" i="36"/>
  <c r="R15" i="36"/>
  <c r="S15" i="36"/>
  <c r="T15" i="36"/>
  <c r="Q16" i="36"/>
  <c r="R16" i="36"/>
  <c r="S16" i="36"/>
  <c r="T16" i="36"/>
  <c r="Q17" i="36"/>
  <c r="R17" i="36"/>
  <c r="S17" i="36"/>
  <c r="T17" i="36"/>
  <c r="Q18" i="36"/>
  <c r="R18" i="36"/>
  <c r="S18" i="36"/>
  <c r="T18" i="36"/>
  <c r="Q19" i="36"/>
  <c r="R19" i="36"/>
  <c r="S19" i="36"/>
  <c r="T19" i="36"/>
  <c r="Q20" i="36"/>
  <c r="R20" i="36"/>
  <c r="S20" i="36"/>
  <c r="T20" i="36"/>
  <c r="Q21" i="36"/>
  <c r="R21" i="36"/>
  <c r="S21" i="36"/>
  <c r="T21" i="36"/>
  <c r="Q22" i="36"/>
  <c r="R22" i="36"/>
  <c r="S22" i="36"/>
  <c r="T22" i="36"/>
  <c r="Q23" i="36"/>
  <c r="R23" i="36"/>
  <c r="S23" i="36"/>
  <c r="T23" i="36"/>
  <c r="Q24" i="36"/>
  <c r="R24" i="36"/>
  <c r="S24" i="36"/>
  <c r="T24" i="36"/>
  <c r="Q25" i="36"/>
  <c r="R25" i="36"/>
  <c r="S25" i="36"/>
  <c r="T25" i="36"/>
  <c r="Q26" i="36"/>
  <c r="R26" i="36"/>
  <c r="S26" i="36"/>
  <c r="T26" i="36"/>
  <c r="Q27" i="36"/>
  <c r="R27" i="36"/>
  <c r="S27" i="36"/>
  <c r="T27" i="36"/>
  <c r="Q28" i="36"/>
  <c r="R28" i="36"/>
  <c r="S28" i="36"/>
  <c r="T28" i="36"/>
  <c r="Q29" i="36"/>
  <c r="R29" i="36"/>
  <c r="S29" i="36"/>
  <c r="T29" i="36"/>
  <c r="Q30" i="36"/>
  <c r="R30" i="36"/>
  <c r="S30" i="36"/>
  <c r="T30" i="36"/>
  <c r="S5" i="36"/>
  <c r="T5" i="36"/>
  <c r="R5" i="36"/>
  <c r="Q5" i="36"/>
  <c r="L17" i="36" l="1"/>
  <c r="K17" i="36"/>
  <c r="J17" i="36"/>
  <c r="L16" i="36"/>
  <c r="K16" i="36"/>
  <c r="J16" i="36"/>
  <c r="L15" i="36"/>
  <c r="K15" i="36"/>
  <c r="J15" i="36"/>
  <c r="L14" i="36"/>
  <c r="K14" i="36"/>
  <c r="J14" i="36"/>
  <c r="L13" i="36"/>
  <c r="K13" i="36"/>
  <c r="J13" i="36"/>
  <c r="L12" i="36"/>
  <c r="K12" i="36"/>
  <c r="J12" i="36"/>
  <c r="L11" i="36"/>
  <c r="K11" i="36"/>
  <c r="J11" i="36"/>
  <c r="L10" i="36"/>
  <c r="K10" i="36"/>
  <c r="J10" i="36"/>
  <c r="L9" i="36"/>
  <c r="K9" i="36"/>
  <c r="J9" i="36"/>
  <c r="L8" i="36"/>
  <c r="K8" i="36"/>
  <c r="J8" i="36"/>
  <c r="L7" i="36"/>
  <c r="K7" i="36"/>
  <c r="J7" i="36"/>
  <c r="L6" i="36"/>
  <c r="K6" i="36"/>
  <c r="J6" i="36"/>
  <c r="L5" i="36"/>
  <c r="K5" i="36"/>
  <c r="J5" i="36"/>
  <c r="D6" i="36"/>
  <c r="E6" i="36"/>
  <c r="F6" i="36"/>
  <c r="D7" i="36"/>
  <c r="E7" i="36"/>
  <c r="F7" i="36"/>
  <c r="D8" i="36"/>
  <c r="E8" i="36"/>
  <c r="F8" i="36"/>
  <c r="D9" i="36"/>
  <c r="E9" i="36"/>
  <c r="F9" i="36"/>
  <c r="D10" i="36"/>
  <c r="E10" i="36"/>
  <c r="F10" i="36"/>
  <c r="D11" i="36"/>
  <c r="E11" i="36"/>
  <c r="F11" i="36"/>
  <c r="D12" i="36"/>
  <c r="E12" i="36"/>
  <c r="F12" i="36"/>
  <c r="D13" i="36"/>
  <c r="E13" i="36"/>
  <c r="F13" i="36"/>
  <c r="D14" i="36"/>
  <c r="E14" i="36"/>
  <c r="F14" i="36"/>
  <c r="D15" i="36"/>
  <c r="E15" i="36"/>
  <c r="F15" i="36"/>
  <c r="D16" i="36"/>
  <c r="E16" i="36"/>
  <c r="F16" i="36"/>
  <c r="D17" i="36"/>
  <c r="E17" i="36"/>
  <c r="F17" i="36"/>
  <c r="D18" i="36"/>
  <c r="E18" i="36"/>
  <c r="F18" i="36"/>
  <c r="D19" i="36"/>
  <c r="E19" i="36"/>
  <c r="F19" i="36"/>
  <c r="D20" i="36"/>
  <c r="E20" i="36"/>
  <c r="F20" i="36"/>
  <c r="D21" i="36"/>
  <c r="E21" i="36"/>
  <c r="F21" i="36"/>
  <c r="D22" i="36"/>
  <c r="E22" i="36"/>
  <c r="F22" i="36"/>
  <c r="D23" i="36"/>
  <c r="E23" i="36"/>
  <c r="F23" i="36"/>
  <c r="D24" i="36"/>
  <c r="E24" i="36"/>
  <c r="F24" i="36"/>
  <c r="D25" i="36"/>
  <c r="E25" i="36"/>
  <c r="F25" i="36"/>
  <c r="D26" i="36"/>
  <c r="E26" i="36"/>
  <c r="F26" i="36"/>
  <c r="D27" i="36"/>
  <c r="E27" i="36"/>
  <c r="F27" i="36"/>
  <c r="D28" i="36"/>
  <c r="E28" i="36"/>
  <c r="F28" i="36"/>
  <c r="D29" i="36"/>
  <c r="E29" i="36"/>
  <c r="F29" i="36"/>
  <c r="D30" i="36"/>
  <c r="E30" i="36"/>
  <c r="F30" i="36"/>
  <c r="E5" i="36"/>
  <c r="D5" i="36"/>
  <c r="F5" i="36"/>
  <c r="Z30" i="35"/>
  <c r="Y30" i="35"/>
  <c r="X30" i="35"/>
  <c r="W30" i="35"/>
  <c r="V30" i="35"/>
  <c r="U30" i="35"/>
  <c r="T30" i="35"/>
  <c r="S30" i="35"/>
  <c r="R30" i="35"/>
  <c r="Q30" i="35"/>
  <c r="Z29" i="35"/>
  <c r="Y29" i="35"/>
  <c r="X29" i="35"/>
  <c r="W29" i="35"/>
  <c r="V29" i="35"/>
  <c r="U29" i="35"/>
  <c r="T29" i="35"/>
  <c r="S29" i="35"/>
  <c r="R29" i="35"/>
  <c r="Q29" i="35"/>
  <c r="Z28" i="35"/>
  <c r="Y28" i="35"/>
  <c r="X28" i="35"/>
  <c r="W28" i="35"/>
  <c r="V28" i="35"/>
  <c r="U28" i="35"/>
  <c r="T28" i="35"/>
  <c r="S28" i="35"/>
  <c r="R28" i="35"/>
  <c r="Q28" i="35"/>
  <c r="Z27" i="35"/>
  <c r="Y27" i="35"/>
  <c r="X27" i="35"/>
  <c r="W27" i="35"/>
  <c r="V27" i="35"/>
  <c r="U27" i="35"/>
  <c r="T27" i="35"/>
  <c r="S27" i="35"/>
  <c r="R27" i="35"/>
  <c r="Q27" i="35"/>
  <c r="Z26" i="35"/>
  <c r="Y26" i="35"/>
  <c r="X26" i="35"/>
  <c r="W26" i="35"/>
  <c r="V26" i="35"/>
  <c r="U26" i="35"/>
  <c r="T26" i="35"/>
  <c r="S26" i="35"/>
  <c r="R26" i="35"/>
  <c r="Q26" i="35"/>
  <c r="Z25" i="35"/>
  <c r="Y25" i="35"/>
  <c r="X25" i="35"/>
  <c r="W25" i="35"/>
  <c r="V25" i="35"/>
  <c r="U25" i="35"/>
  <c r="T25" i="35"/>
  <c r="S25" i="35"/>
  <c r="R25" i="35"/>
  <c r="Q25" i="35"/>
  <c r="Z24" i="35"/>
  <c r="Y24" i="35"/>
  <c r="X24" i="35"/>
  <c r="W24" i="35"/>
  <c r="V24" i="35"/>
  <c r="U24" i="35"/>
  <c r="T24" i="35"/>
  <c r="S24" i="35"/>
  <c r="R24" i="35"/>
  <c r="Q24" i="35"/>
  <c r="Z23" i="35"/>
  <c r="Y23" i="35"/>
  <c r="X23" i="35"/>
  <c r="W23" i="35"/>
  <c r="V23" i="35"/>
  <c r="U23" i="35"/>
  <c r="T23" i="35"/>
  <c r="S23" i="35"/>
  <c r="R23" i="35"/>
  <c r="Q23" i="35"/>
  <c r="Z22" i="35"/>
  <c r="Y22" i="35"/>
  <c r="X22" i="35"/>
  <c r="W22" i="35"/>
  <c r="V22" i="35"/>
  <c r="U22" i="35"/>
  <c r="T22" i="35"/>
  <c r="S22" i="35"/>
  <c r="R22" i="35"/>
  <c r="Q22" i="35"/>
  <c r="Z21" i="35"/>
  <c r="Y21" i="35"/>
  <c r="X21" i="35"/>
  <c r="W21" i="35"/>
  <c r="V21" i="35"/>
  <c r="U21" i="35"/>
  <c r="T21" i="35"/>
  <c r="S21" i="35"/>
  <c r="R21" i="35"/>
  <c r="Q21" i="35"/>
  <c r="Z20" i="35"/>
  <c r="Y20" i="35"/>
  <c r="X20" i="35"/>
  <c r="W20" i="35"/>
  <c r="V20" i="35"/>
  <c r="U20" i="35"/>
  <c r="T20" i="35"/>
  <c r="S20" i="35"/>
  <c r="R20" i="35"/>
  <c r="Q20" i="35"/>
  <c r="Z19" i="35"/>
  <c r="Y19" i="35"/>
  <c r="X19" i="35"/>
  <c r="W19" i="35"/>
  <c r="V19" i="35"/>
  <c r="U19" i="35"/>
  <c r="T19" i="35"/>
  <c r="S19" i="35"/>
  <c r="R19" i="35"/>
  <c r="Q19" i="35"/>
  <c r="Z18" i="35"/>
  <c r="Y18" i="35"/>
  <c r="X18" i="35"/>
  <c r="W18" i="35"/>
  <c r="V18" i="35"/>
  <c r="U18" i="35"/>
  <c r="T18" i="35"/>
  <c r="S18" i="35"/>
  <c r="R18" i="35"/>
  <c r="Q18" i="35"/>
  <c r="Z17" i="35"/>
  <c r="Y17" i="35"/>
  <c r="X17" i="35"/>
  <c r="W17" i="35"/>
  <c r="V17" i="35"/>
  <c r="U17" i="35"/>
  <c r="T17" i="35"/>
  <c r="S17" i="35"/>
  <c r="R17" i="35"/>
  <c r="Q17" i="35"/>
  <c r="Z16" i="35"/>
  <c r="Y16" i="35"/>
  <c r="X16" i="35"/>
  <c r="W16" i="35"/>
  <c r="V16" i="35"/>
  <c r="U16" i="35"/>
  <c r="T16" i="35"/>
  <c r="S16" i="35"/>
  <c r="R16" i="35"/>
  <c r="Q16" i="35"/>
  <c r="Z15" i="35"/>
  <c r="Y15" i="35"/>
  <c r="X15" i="35"/>
  <c r="W15" i="35"/>
  <c r="V15" i="35"/>
  <c r="U15" i="35"/>
  <c r="T15" i="35"/>
  <c r="S15" i="35"/>
  <c r="R15" i="35"/>
  <c r="Q15" i="35"/>
  <c r="Z14" i="35"/>
  <c r="Y14" i="35"/>
  <c r="X14" i="35"/>
  <c r="W14" i="35"/>
  <c r="V14" i="35"/>
  <c r="U14" i="35"/>
  <c r="T14" i="35"/>
  <c r="S14" i="35"/>
  <c r="R14" i="35"/>
  <c r="Q14" i="35"/>
  <c r="Z13" i="35"/>
  <c r="Y13" i="35"/>
  <c r="X13" i="35"/>
  <c r="W13" i="35"/>
  <c r="V13" i="35"/>
  <c r="U13" i="35"/>
  <c r="T13" i="35"/>
  <c r="S13" i="35"/>
  <c r="R13" i="35"/>
  <c r="Q13" i="35"/>
  <c r="Z12" i="35"/>
  <c r="Y12" i="35"/>
  <c r="X12" i="35"/>
  <c r="W12" i="35"/>
  <c r="V12" i="35"/>
  <c r="U12" i="35"/>
  <c r="T12" i="35"/>
  <c r="S12" i="35"/>
  <c r="R12" i="35"/>
  <c r="Q12" i="35"/>
  <c r="Z11" i="35"/>
  <c r="Y11" i="35"/>
  <c r="X11" i="35"/>
  <c r="W11" i="35"/>
  <c r="V11" i="35"/>
  <c r="U11" i="35"/>
  <c r="T11" i="35"/>
  <c r="S11" i="35"/>
  <c r="R11" i="35"/>
  <c r="Q11" i="35"/>
  <c r="Z10" i="35"/>
  <c r="Y10" i="35"/>
  <c r="X10" i="35"/>
  <c r="W10" i="35"/>
  <c r="V10" i="35"/>
  <c r="U10" i="35"/>
  <c r="T10" i="35"/>
  <c r="S10" i="35"/>
  <c r="R10" i="35"/>
  <c r="Q10" i="35"/>
  <c r="Z9" i="35"/>
  <c r="Y9" i="35"/>
  <c r="X9" i="35"/>
  <c r="W9" i="35"/>
  <c r="V9" i="35"/>
  <c r="U9" i="35"/>
  <c r="T9" i="35"/>
  <c r="S9" i="35"/>
  <c r="R9" i="35"/>
  <c r="Q9" i="35"/>
  <c r="Z8" i="35"/>
  <c r="Y8" i="35"/>
  <c r="X8" i="35"/>
  <c r="W8" i="35"/>
  <c r="V8" i="35"/>
  <c r="U8" i="35"/>
  <c r="T8" i="35"/>
  <c r="S8" i="35"/>
  <c r="R8" i="35"/>
  <c r="Q8" i="35"/>
  <c r="Z7" i="35"/>
  <c r="Y7" i="35"/>
  <c r="X7" i="35"/>
  <c r="W7" i="35"/>
  <c r="V7" i="35"/>
  <c r="U7" i="35"/>
  <c r="T7" i="35"/>
  <c r="S7" i="35"/>
  <c r="R7" i="35"/>
  <c r="Q7" i="35"/>
  <c r="Z6" i="35"/>
  <c r="Y6" i="35"/>
  <c r="X6" i="35"/>
  <c r="W6" i="35"/>
  <c r="V6" i="35"/>
  <c r="U6" i="35"/>
  <c r="T6" i="35"/>
  <c r="S6" i="35"/>
  <c r="R6" i="35"/>
  <c r="Q6" i="35"/>
  <c r="Z5" i="35"/>
  <c r="Y5" i="35"/>
  <c r="X5" i="35"/>
  <c r="W5" i="35"/>
  <c r="V5" i="35"/>
  <c r="U5" i="35"/>
  <c r="T5" i="35"/>
  <c r="S5" i="35"/>
  <c r="R5" i="35"/>
  <c r="Q5" i="35"/>
  <c r="D45" i="35"/>
  <c r="E45" i="35"/>
  <c r="F45" i="35"/>
  <c r="G45" i="35"/>
  <c r="H45" i="35"/>
  <c r="I45" i="35"/>
  <c r="J45" i="35"/>
  <c r="K45" i="35"/>
  <c r="L45" i="35"/>
  <c r="M45" i="35"/>
  <c r="D46" i="35"/>
  <c r="E46" i="35"/>
  <c r="F46" i="35"/>
  <c r="G46" i="35"/>
  <c r="H46" i="35"/>
  <c r="I46" i="35"/>
  <c r="J46" i="35"/>
  <c r="K46" i="35"/>
  <c r="L46" i="35"/>
  <c r="M46" i="35"/>
  <c r="D47" i="35"/>
  <c r="E47" i="35"/>
  <c r="F47" i="35"/>
  <c r="G47" i="35"/>
  <c r="H47" i="35"/>
  <c r="I47" i="35"/>
  <c r="J47" i="35"/>
  <c r="K47" i="35"/>
  <c r="L47" i="35"/>
  <c r="M47" i="35"/>
  <c r="D48" i="35"/>
  <c r="E48" i="35"/>
  <c r="F48" i="35"/>
  <c r="G48" i="35"/>
  <c r="H48" i="35"/>
  <c r="I48" i="35"/>
  <c r="J48" i="35"/>
  <c r="K48" i="35"/>
  <c r="L48" i="35"/>
  <c r="M48" i="35"/>
  <c r="D49" i="35"/>
  <c r="E49" i="35"/>
  <c r="F49" i="35"/>
  <c r="G49" i="35"/>
  <c r="H49" i="35"/>
  <c r="I49" i="35"/>
  <c r="J49" i="35"/>
  <c r="K49" i="35"/>
  <c r="L49" i="35"/>
  <c r="M49" i="35"/>
  <c r="D50" i="35"/>
  <c r="E50" i="35"/>
  <c r="F50" i="35"/>
  <c r="G50" i="35"/>
  <c r="H50" i="35"/>
  <c r="I50" i="35"/>
  <c r="J50" i="35"/>
  <c r="K50" i="35"/>
  <c r="L50" i="35"/>
  <c r="M50" i="35"/>
  <c r="D51" i="35"/>
  <c r="E51" i="35"/>
  <c r="F51" i="35"/>
  <c r="G51" i="35"/>
  <c r="H51" i="35"/>
  <c r="I51" i="35"/>
  <c r="J51" i="35"/>
  <c r="K51" i="35"/>
  <c r="L51" i="35"/>
  <c r="M51" i="35"/>
  <c r="D52" i="35"/>
  <c r="E52" i="35"/>
  <c r="F52" i="35"/>
  <c r="G52" i="35"/>
  <c r="H52" i="35"/>
  <c r="I52" i="35"/>
  <c r="J52" i="35"/>
  <c r="K52" i="35"/>
  <c r="L52" i="35"/>
  <c r="M52" i="35"/>
  <c r="D53" i="35"/>
  <c r="E53" i="35"/>
  <c r="F53" i="35"/>
  <c r="G53" i="35"/>
  <c r="H53" i="35"/>
  <c r="I53" i="35"/>
  <c r="J53" i="35"/>
  <c r="K53" i="35"/>
  <c r="L53" i="35"/>
  <c r="M53" i="35"/>
  <c r="D54" i="35"/>
  <c r="E54" i="35"/>
  <c r="F54" i="35"/>
  <c r="G54" i="35"/>
  <c r="H54" i="35"/>
  <c r="I54" i="35"/>
  <c r="J54" i="35"/>
  <c r="K54" i="35"/>
  <c r="L54" i="35"/>
  <c r="M54" i="35"/>
  <c r="D55" i="35"/>
  <c r="E55" i="35"/>
  <c r="F55" i="35"/>
  <c r="G55" i="35"/>
  <c r="H55" i="35"/>
  <c r="I55" i="35"/>
  <c r="J55" i="35"/>
  <c r="K55" i="35"/>
  <c r="L55" i="35"/>
  <c r="M55" i="35"/>
  <c r="D56" i="35"/>
  <c r="E56" i="35"/>
  <c r="F56" i="35"/>
  <c r="G56" i="35"/>
  <c r="H56" i="35"/>
  <c r="I56" i="35"/>
  <c r="J56" i="35"/>
  <c r="K56" i="35"/>
  <c r="L56" i="35"/>
  <c r="M56" i="35"/>
  <c r="D31" i="35"/>
  <c r="E31" i="35"/>
  <c r="F31" i="35"/>
  <c r="G31" i="35"/>
  <c r="H31" i="35"/>
  <c r="I31" i="35"/>
  <c r="J31" i="35"/>
  <c r="K31" i="35"/>
  <c r="L31" i="35"/>
  <c r="M31" i="35"/>
  <c r="D32" i="35"/>
  <c r="E32" i="35"/>
  <c r="F32" i="35"/>
  <c r="G32" i="35"/>
  <c r="H32" i="35"/>
  <c r="I32" i="35"/>
  <c r="J32" i="35"/>
  <c r="K32" i="35"/>
  <c r="L32" i="35"/>
  <c r="M32" i="35"/>
  <c r="D33" i="35"/>
  <c r="E33" i="35"/>
  <c r="F33" i="35"/>
  <c r="G33" i="35"/>
  <c r="H33" i="35"/>
  <c r="I33" i="35"/>
  <c r="J33" i="35"/>
  <c r="K33" i="35"/>
  <c r="L33" i="35"/>
  <c r="M33" i="35"/>
  <c r="D34" i="35"/>
  <c r="E34" i="35"/>
  <c r="F34" i="35"/>
  <c r="G34" i="35"/>
  <c r="H34" i="35"/>
  <c r="I34" i="35"/>
  <c r="J34" i="35"/>
  <c r="K34" i="35"/>
  <c r="L34" i="35"/>
  <c r="M34" i="35"/>
  <c r="D35" i="35"/>
  <c r="E35" i="35"/>
  <c r="F35" i="35"/>
  <c r="G35" i="35"/>
  <c r="H35" i="35"/>
  <c r="I35" i="35"/>
  <c r="J35" i="35"/>
  <c r="K35" i="35"/>
  <c r="L35" i="35"/>
  <c r="M35" i="35"/>
  <c r="D36" i="35"/>
  <c r="E36" i="35"/>
  <c r="F36" i="35"/>
  <c r="G36" i="35"/>
  <c r="H36" i="35"/>
  <c r="I36" i="35"/>
  <c r="J36" i="35"/>
  <c r="K36" i="35"/>
  <c r="L36" i="35"/>
  <c r="M36" i="35"/>
  <c r="D37" i="35"/>
  <c r="E37" i="35"/>
  <c r="F37" i="35"/>
  <c r="G37" i="35"/>
  <c r="H37" i="35"/>
  <c r="I37" i="35"/>
  <c r="J37" i="35"/>
  <c r="K37" i="35"/>
  <c r="L37" i="35"/>
  <c r="M37" i="35"/>
  <c r="D38" i="35"/>
  <c r="E38" i="35"/>
  <c r="F38" i="35"/>
  <c r="G38" i="35"/>
  <c r="H38" i="35"/>
  <c r="I38" i="35"/>
  <c r="J38" i="35"/>
  <c r="K38" i="35"/>
  <c r="L38" i="35"/>
  <c r="M38" i="35"/>
  <c r="D39" i="35"/>
  <c r="E39" i="35"/>
  <c r="F39" i="35"/>
  <c r="G39" i="35"/>
  <c r="H39" i="35"/>
  <c r="I39" i="35"/>
  <c r="J39" i="35"/>
  <c r="K39" i="35"/>
  <c r="L39" i="35"/>
  <c r="M39" i="35"/>
  <c r="D40" i="35"/>
  <c r="E40" i="35"/>
  <c r="F40" i="35"/>
  <c r="G40" i="35"/>
  <c r="H40" i="35"/>
  <c r="I40" i="35"/>
  <c r="J40" i="35"/>
  <c r="K40" i="35"/>
  <c r="L40" i="35"/>
  <c r="M40" i="35"/>
  <c r="D41" i="35"/>
  <c r="E41" i="35"/>
  <c r="F41" i="35"/>
  <c r="G41" i="35"/>
  <c r="H41" i="35"/>
  <c r="I41" i="35"/>
  <c r="J41" i="35"/>
  <c r="K41" i="35"/>
  <c r="L41" i="35"/>
  <c r="M41" i="35"/>
  <c r="D42" i="35"/>
  <c r="E42" i="35"/>
  <c r="F42" i="35"/>
  <c r="G42" i="35"/>
  <c r="H42" i="35"/>
  <c r="I42" i="35"/>
  <c r="J42" i="35"/>
  <c r="K42" i="35"/>
  <c r="L42" i="35"/>
  <c r="M42" i="35"/>
  <c r="D43" i="35"/>
  <c r="E43" i="35"/>
  <c r="F43" i="35"/>
  <c r="G43" i="35"/>
  <c r="H43" i="35"/>
  <c r="I43" i="35"/>
  <c r="J43" i="35"/>
  <c r="K43" i="35"/>
  <c r="L43" i="35"/>
  <c r="M43" i="35"/>
  <c r="D44" i="35"/>
  <c r="E44" i="35"/>
  <c r="F44" i="35"/>
  <c r="G44" i="35"/>
  <c r="H44" i="35"/>
  <c r="I44" i="35"/>
  <c r="J44" i="35"/>
  <c r="K44" i="35"/>
  <c r="L44" i="35"/>
  <c r="M44" i="35"/>
  <c r="D19" i="35"/>
  <c r="E19" i="35"/>
  <c r="F19" i="35"/>
  <c r="G19" i="35"/>
  <c r="H19" i="35"/>
  <c r="I19" i="35"/>
  <c r="J19" i="35"/>
  <c r="K19" i="35"/>
  <c r="L19" i="35"/>
  <c r="M19" i="35"/>
  <c r="D20" i="35"/>
  <c r="E20" i="35"/>
  <c r="F20" i="35"/>
  <c r="G20" i="35"/>
  <c r="H20" i="35"/>
  <c r="I20" i="35"/>
  <c r="J20" i="35"/>
  <c r="K20" i="35"/>
  <c r="L20" i="35"/>
  <c r="M20" i="35"/>
  <c r="D21" i="35"/>
  <c r="E21" i="35"/>
  <c r="F21" i="35"/>
  <c r="G21" i="35"/>
  <c r="H21" i="35"/>
  <c r="I21" i="35"/>
  <c r="J21" i="35"/>
  <c r="K21" i="35"/>
  <c r="L21" i="35"/>
  <c r="M21" i="35"/>
  <c r="D22" i="35"/>
  <c r="E22" i="35"/>
  <c r="F22" i="35"/>
  <c r="G22" i="35"/>
  <c r="H22" i="35"/>
  <c r="I22" i="35"/>
  <c r="J22" i="35"/>
  <c r="K22" i="35"/>
  <c r="L22" i="35"/>
  <c r="M22" i="35"/>
  <c r="D23" i="35"/>
  <c r="E23" i="35"/>
  <c r="F23" i="35"/>
  <c r="G23" i="35"/>
  <c r="H23" i="35"/>
  <c r="I23" i="35"/>
  <c r="J23" i="35"/>
  <c r="K23" i="35"/>
  <c r="L23" i="35"/>
  <c r="M23" i="35"/>
  <c r="D24" i="35"/>
  <c r="E24" i="35"/>
  <c r="F24" i="35"/>
  <c r="G24" i="35"/>
  <c r="H24" i="35"/>
  <c r="I24" i="35"/>
  <c r="J24" i="35"/>
  <c r="K24" i="35"/>
  <c r="L24" i="35"/>
  <c r="M24" i="35"/>
  <c r="D25" i="35"/>
  <c r="E25" i="35"/>
  <c r="F25" i="35"/>
  <c r="G25" i="35"/>
  <c r="H25" i="35"/>
  <c r="I25" i="35"/>
  <c r="J25" i="35"/>
  <c r="K25" i="35"/>
  <c r="L25" i="35"/>
  <c r="M25" i="35"/>
  <c r="D26" i="35"/>
  <c r="E26" i="35"/>
  <c r="F26" i="35"/>
  <c r="G26" i="35"/>
  <c r="H26" i="35"/>
  <c r="I26" i="35"/>
  <c r="J26" i="35"/>
  <c r="K26" i="35"/>
  <c r="L26" i="35"/>
  <c r="M26" i="35"/>
  <c r="D27" i="35"/>
  <c r="E27" i="35"/>
  <c r="F27" i="35"/>
  <c r="G27" i="35"/>
  <c r="H27" i="35"/>
  <c r="I27" i="35"/>
  <c r="J27" i="35"/>
  <c r="K27" i="35"/>
  <c r="L27" i="35"/>
  <c r="M27" i="35"/>
  <c r="D28" i="35"/>
  <c r="E28" i="35"/>
  <c r="F28" i="35"/>
  <c r="G28" i="35"/>
  <c r="H28" i="35"/>
  <c r="I28" i="35"/>
  <c r="J28" i="35"/>
  <c r="K28" i="35"/>
  <c r="L28" i="35"/>
  <c r="M28" i="35"/>
  <c r="D29" i="35"/>
  <c r="E29" i="35"/>
  <c r="F29" i="35"/>
  <c r="G29" i="35"/>
  <c r="H29" i="35"/>
  <c r="I29" i="35"/>
  <c r="J29" i="35"/>
  <c r="K29" i="35"/>
  <c r="L29" i="35"/>
  <c r="M29" i="35"/>
  <c r="D30" i="35"/>
  <c r="E30" i="35"/>
  <c r="F30" i="35"/>
  <c r="G30" i="35"/>
  <c r="H30" i="35"/>
  <c r="I30" i="35"/>
  <c r="J30" i="35"/>
  <c r="K30" i="35"/>
  <c r="L30" i="35"/>
  <c r="M30" i="35"/>
  <c r="D6" i="35"/>
  <c r="E6" i="35"/>
  <c r="F6" i="35"/>
  <c r="G6" i="35"/>
  <c r="H6" i="35"/>
  <c r="I6" i="35"/>
  <c r="J6" i="35"/>
  <c r="K6" i="35"/>
  <c r="L6" i="35"/>
  <c r="M6" i="35"/>
  <c r="D7" i="35"/>
  <c r="E7" i="35"/>
  <c r="F7" i="35"/>
  <c r="G7" i="35"/>
  <c r="H7" i="35"/>
  <c r="I7" i="35"/>
  <c r="J7" i="35"/>
  <c r="K7" i="35"/>
  <c r="L7" i="35"/>
  <c r="M7" i="35"/>
  <c r="D8" i="35"/>
  <c r="E8" i="35"/>
  <c r="F8" i="35"/>
  <c r="G8" i="35"/>
  <c r="H8" i="35"/>
  <c r="I8" i="35"/>
  <c r="J8" i="35"/>
  <c r="K8" i="35"/>
  <c r="L8" i="35"/>
  <c r="M8" i="35"/>
  <c r="D9" i="35"/>
  <c r="E9" i="35"/>
  <c r="F9" i="35"/>
  <c r="G9" i="35"/>
  <c r="H9" i="35"/>
  <c r="I9" i="35"/>
  <c r="J9" i="35"/>
  <c r="K9" i="35"/>
  <c r="L9" i="35"/>
  <c r="M9" i="35"/>
  <c r="D10" i="35"/>
  <c r="E10" i="35"/>
  <c r="F10" i="35"/>
  <c r="G10" i="35"/>
  <c r="H10" i="35"/>
  <c r="I10" i="35"/>
  <c r="J10" i="35"/>
  <c r="K10" i="35"/>
  <c r="L10" i="35"/>
  <c r="M10" i="35"/>
  <c r="D11" i="35"/>
  <c r="E11" i="35"/>
  <c r="F11" i="35"/>
  <c r="G11" i="35"/>
  <c r="H11" i="35"/>
  <c r="I11" i="35"/>
  <c r="J11" i="35"/>
  <c r="K11" i="35"/>
  <c r="L11" i="35"/>
  <c r="M11" i="35"/>
  <c r="D12" i="35"/>
  <c r="E12" i="35"/>
  <c r="F12" i="35"/>
  <c r="G12" i="35"/>
  <c r="H12" i="35"/>
  <c r="I12" i="35"/>
  <c r="J12" i="35"/>
  <c r="K12" i="35"/>
  <c r="L12" i="35"/>
  <c r="M12" i="35"/>
  <c r="D13" i="35"/>
  <c r="E13" i="35"/>
  <c r="F13" i="35"/>
  <c r="G13" i="35"/>
  <c r="H13" i="35"/>
  <c r="I13" i="35"/>
  <c r="J13" i="35"/>
  <c r="K13" i="35"/>
  <c r="L13" i="35"/>
  <c r="M13" i="35"/>
  <c r="D14" i="35"/>
  <c r="E14" i="35"/>
  <c r="F14" i="35"/>
  <c r="G14" i="35"/>
  <c r="H14" i="35"/>
  <c r="I14" i="35"/>
  <c r="J14" i="35"/>
  <c r="K14" i="35"/>
  <c r="L14" i="35"/>
  <c r="M14" i="35"/>
  <c r="D15" i="35"/>
  <c r="E15" i="35"/>
  <c r="F15" i="35"/>
  <c r="G15" i="35"/>
  <c r="H15" i="35"/>
  <c r="I15" i="35"/>
  <c r="J15" i="35"/>
  <c r="K15" i="35"/>
  <c r="L15" i="35"/>
  <c r="M15" i="35"/>
  <c r="D16" i="35"/>
  <c r="E16" i="35"/>
  <c r="F16" i="35"/>
  <c r="G16" i="35"/>
  <c r="H16" i="35"/>
  <c r="I16" i="35"/>
  <c r="J16" i="35"/>
  <c r="K16" i="35"/>
  <c r="L16" i="35"/>
  <c r="M16" i="35"/>
  <c r="D17" i="35"/>
  <c r="E17" i="35"/>
  <c r="F17" i="35"/>
  <c r="G17" i="35"/>
  <c r="H17" i="35"/>
  <c r="I17" i="35"/>
  <c r="J17" i="35"/>
  <c r="K17" i="35"/>
  <c r="L17" i="35"/>
  <c r="M17" i="35"/>
  <c r="D18" i="35"/>
  <c r="E18" i="35"/>
  <c r="F18" i="35"/>
  <c r="G18" i="35"/>
  <c r="H18" i="35"/>
  <c r="I18" i="35"/>
  <c r="J18" i="35"/>
  <c r="K18" i="35"/>
  <c r="L18" i="35"/>
  <c r="M18" i="35"/>
  <c r="E5" i="35"/>
  <c r="F5" i="35"/>
  <c r="G5" i="35"/>
  <c r="H5" i="35"/>
  <c r="I5" i="35"/>
  <c r="J5" i="35"/>
  <c r="K5" i="35"/>
  <c r="L5" i="35"/>
  <c r="M5" i="35"/>
  <c r="D5" i="35"/>
  <c r="Q18" i="34"/>
  <c r="P18" i="34"/>
  <c r="O18" i="34"/>
  <c r="N18" i="34"/>
  <c r="M18" i="34"/>
  <c r="L18" i="34"/>
  <c r="Q17" i="34"/>
  <c r="P17" i="34"/>
  <c r="O17" i="34"/>
  <c r="N17" i="34"/>
  <c r="M17" i="34"/>
  <c r="L17" i="34"/>
  <c r="Q16" i="34"/>
  <c r="P16" i="34"/>
  <c r="O16" i="34"/>
  <c r="N16" i="34"/>
  <c r="M16" i="34"/>
  <c r="L16" i="34"/>
  <c r="Q15" i="34"/>
  <c r="P15" i="34"/>
  <c r="O15" i="34"/>
  <c r="N15" i="34"/>
  <c r="M15" i="34"/>
  <c r="L15" i="34"/>
  <c r="Q14" i="34"/>
  <c r="P14" i="34"/>
  <c r="O14" i="34"/>
  <c r="N14" i="34"/>
  <c r="M14" i="34"/>
  <c r="L14" i="34"/>
  <c r="Q13" i="34"/>
  <c r="P13" i="34"/>
  <c r="O13" i="34"/>
  <c r="N13" i="34"/>
  <c r="M13" i="34"/>
  <c r="L13" i="34"/>
  <c r="Q12" i="34"/>
  <c r="P12" i="34"/>
  <c r="O12" i="34"/>
  <c r="N12" i="34"/>
  <c r="M12" i="34"/>
  <c r="L12" i="34"/>
  <c r="Q11" i="34"/>
  <c r="P11" i="34"/>
  <c r="O11" i="34"/>
  <c r="N11" i="34"/>
  <c r="M11" i="34"/>
  <c r="L11" i="34"/>
  <c r="Q10" i="34"/>
  <c r="P10" i="34"/>
  <c r="O10" i="34"/>
  <c r="N10" i="34"/>
  <c r="M10" i="34"/>
  <c r="L10" i="34"/>
  <c r="Q9" i="34"/>
  <c r="P9" i="34"/>
  <c r="O9" i="34"/>
  <c r="N9" i="34"/>
  <c r="M9" i="34"/>
  <c r="L9" i="34"/>
  <c r="Q8" i="34"/>
  <c r="P8" i="34"/>
  <c r="O8" i="34"/>
  <c r="N8" i="34"/>
  <c r="M8" i="34"/>
  <c r="L8" i="34"/>
  <c r="Q7" i="34"/>
  <c r="P7" i="34"/>
  <c r="O7" i="34"/>
  <c r="N7" i="34"/>
  <c r="M7" i="34"/>
  <c r="L7" i="34"/>
  <c r="Q6" i="34"/>
  <c r="P6" i="34"/>
  <c r="O6" i="34"/>
  <c r="N6" i="34"/>
  <c r="M6" i="34"/>
  <c r="L6" i="34"/>
  <c r="C7" i="34"/>
  <c r="D7" i="34"/>
  <c r="E7" i="34"/>
  <c r="F7" i="34"/>
  <c r="G7" i="34"/>
  <c r="H7" i="34"/>
  <c r="C8" i="34"/>
  <c r="D8" i="34"/>
  <c r="E8" i="34"/>
  <c r="F8" i="34"/>
  <c r="G8" i="34"/>
  <c r="H8" i="34"/>
  <c r="C9" i="34"/>
  <c r="D9" i="34"/>
  <c r="E9" i="34"/>
  <c r="F9" i="34"/>
  <c r="G9" i="34"/>
  <c r="H9" i="34"/>
  <c r="C10" i="34"/>
  <c r="D10" i="34"/>
  <c r="E10" i="34"/>
  <c r="F10" i="34"/>
  <c r="G10" i="34"/>
  <c r="H10" i="34"/>
  <c r="C11" i="34"/>
  <c r="D11" i="34"/>
  <c r="E11" i="34"/>
  <c r="F11" i="34"/>
  <c r="G11" i="34"/>
  <c r="H11" i="34"/>
  <c r="C12" i="34"/>
  <c r="D12" i="34"/>
  <c r="E12" i="34"/>
  <c r="F12" i="34"/>
  <c r="G12" i="34"/>
  <c r="H12" i="34"/>
  <c r="C13" i="34"/>
  <c r="D13" i="34"/>
  <c r="E13" i="34"/>
  <c r="F13" i="34"/>
  <c r="G13" i="34"/>
  <c r="H13" i="34"/>
  <c r="C14" i="34"/>
  <c r="D14" i="34"/>
  <c r="E14" i="34"/>
  <c r="F14" i="34"/>
  <c r="G14" i="34"/>
  <c r="H14" i="34"/>
  <c r="C15" i="34"/>
  <c r="D15" i="34"/>
  <c r="E15" i="34"/>
  <c r="F15" i="34"/>
  <c r="G15" i="34"/>
  <c r="H15" i="34"/>
  <c r="C16" i="34"/>
  <c r="D16" i="34"/>
  <c r="E16" i="34"/>
  <c r="F16" i="34"/>
  <c r="G16" i="34"/>
  <c r="H16" i="34"/>
  <c r="C17" i="34"/>
  <c r="D17" i="34"/>
  <c r="E17" i="34"/>
  <c r="F17" i="34"/>
  <c r="G17" i="34"/>
  <c r="H17" i="34"/>
  <c r="C18" i="34"/>
  <c r="D18" i="34"/>
  <c r="E18" i="34"/>
  <c r="F18" i="34"/>
  <c r="G18" i="34"/>
  <c r="H18" i="34"/>
  <c r="C19" i="34"/>
  <c r="D19" i="34"/>
  <c r="E19" i="34"/>
  <c r="F19" i="34"/>
  <c r="G19" i="34"/>
  <c r="H19" i="34"/>
  <c r="C20" i="34"/>
  <c r="D20" i="34"/>
  <c r="E20" i="34"/>
  <c r="F20" i="34"/>
  <c r="G20" i="34"/>
  <c r="H20" i="34"/>
  <c r="C21" i="34"/>
  <c r="D21" i="34"/>
  <c r="E21" i="34"/>
  <c r="F21" i="34"/>
  <c r="G21" i="34"/>
  <c r="H21" i="34"/>
  <c r="C22" i="34"/>
  <c r="D22" i="34"/>
  <c r="E22" i="34"/>
  <c r="F22" i="34"/>
  <c r="G22" i="34"/>
  <c r="H22" i="34"/>
  <c r="C23" i="34"/>
  <c r="D23" i="34"/>
  <c r="E23" i="34"/>
  <c r="F23" i="34"/>
  <c r="G23" i="34"/>
  <c r="H23" i="34"/>
  <c r="C24" i="34"/>
  <c r="D24" i="34"/>
  <c r="E24" i="34"/>
  <c r="F24" i="34"/>
  <c r="G24" i="34"/>
  <c r="H24" i="34"/>
  <c r="C25" i="34"/>
  <c r="D25" i="34"/>
  <c r="E25" i="34"/>
  <c r="F25" i="34"/>
  <c r="G25" i="34"/>
  <c r="H25" i="34"/>
  <c r="C26" i="34"/>
  <c r="D26" i="34"/>
  <c r="E26" i="34"/>
  <c r="F26" i="34"/>
  <c r="G26" i="34"/>
  <c r="H26" i="34"/>
  <c r="C27" i="34"/>
  <c r="D27" i="34"/>
  <c r="E27" i="34"/>
  <c r="F27" i="34"/>
  <c r="G27" i="34"/>
  <c r="H27" i="34"/>
  <c r="C28" i="34"/>
  <c r="D28" i="34"/>
  <c r="E28" i="34"/>
  <c r="F28" i="34"/>
  <c r="G28" i="34"/>
  <c r="H28" i="34"/>
  <c r="C29" i="34"/>
  <c r="D29" i="34"/>
  <c r="E29" i="34"/>
  <c r="F29" i="34"/>
  <c r="G29" i="34"/>
  <c r="H29" i="34"/>
  <c r="C30" i="34"/>
  <c r="D30" i="34"/>
  <c r="E30" i="34"/>
  <c r="F30" i="34"/>
  <c r="G30" i="34"/>
  <c r="H30" i="34"/>
  <c r="C31" i="34"/>
  <c r="D31" i="34"/>
  <c r="E31" i="34"/>
  <c r="F31" i="34"/>
  <c r="G31" i="34"/>
  <c r="H31" i="34"/>
  <c r="H6" i="34"/>
  <c r="G6" i="34"/>
  <c r="F6" i="34"/>
  <c r="E6" i="34"/>
  <c r="D6" i="34"/>
  <c r="C6" i="34"/>
  <c r="U18" i="33"/>
  <c r="T18" i="33"/>
  <c r="S18" i="33"/>
  <c r="R18" i="33"/>
  <c r="U17" i="33"/>
  <c r="T17" i="33"/>
  <c r="S17" i="33"/>
  <c r="R17" i="33"/>
  <c r="U16" i="33"/>
  <c r="T16" i="33"/>
  <c r="S16" i="33"/>
  <c r="R16" i="33"/>
  <c r="U15" i="33"/>
  <c r="T15" i="33"/>
  <c r="S15" i="33"/>
  <c r="R15" i="33"/>
  <c r="U14" i="33"/>
  <c r="T14" i="33"/>
  <c r="S14" i="33"/>
  <c r="R14" i="33"/>
  <c r="U13" i="33"/>
  <c r="T13" i="33"/>
  <c r="S13" i="33"/>
  <c r="R13" i="33"/>
  <c r="U12" i="33"/>
  <c r="T12" i="33"/>
  <c r="S12" i="33"/>
  <c r="R12" i="33"/>
  <c r="U11" i="33"/>
  <c r="T11" i="33"/>
  <c r="S11" i="33"/>
  <c r="R11" i="33"/>
  <c r="U10" i="33"/>
  <c r="T10" i="33"/>
  <c r="S10" i="33"/>
  <c r="R10" i="33"/>
  <c r="U9" i="33"/>
  <c r="T9" i="33"/>
  <c r="S9" i="33"/>
  <c r="R9" i="33"/>
  <c r="U8" i="33"/>
  <c r="T8" i="33"/>
  <c r="S8" i="33"/>
  <c r="R8" i="33"/>
  <c r="U7" i="33"/>
  <c r="T7" i="33"/>
  <c r="S7" i="33"/>
  <c r="R7" i="33"/>
  <c r="U6" i="33"/>
  <c r="T6" i="33"/>
  <c r="S6" i="33"/>
  <c r="R6" i="33"/>
  <c r="L31" i="33"/>
  <c r="M31" i="33"/>
  <c r="N7" i="33"/>
  <c r="N8" i="33"/>
  <c r="N9" i="33"/>
  <c r="N10" i="33"/>
  <c r="N11" i="33"/>
  <c r="N12" i="33"/>
  <c r="N13" i="33"/>
  <c r="N14" i="33"/>
  <c r="N15" i="33"/>
  <c r="N16" i="33"/>
  <c r="N17" i="33"/>
  <c r="N18" i="33"/>
  <c r="N19" i="33"/>
  <c r="N20" i="33"/>
  <c r="N21" i="33"/>
  <c r="N22" i="33"/>
  <c r="N23" i="33"/>
  <c r="N24" i="33"/>
  <c r="N25" i="33"/>
  <c r="N26" i="33"/>
  <c r="N27" i="33"/>
  <c r="N28" i="33"/>
  <c r="N29" i="33"/>
  <c r="N30" i="33"/>
  <c r="N31" i="33"/>
  <c r="N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6" i="33"/>
  <c r="L7" i="33"/>
  <c r="L8" i="33"/>
  <c r="L9" i="33"/>
  <c r="L10" i="33"/>
  <c r="L11" i="33"/>
  <c r="L12" i="33"/>
  <c r="L13" i="33"/>
  <c r="L14" i="33"/>
  <c r="L15" i="33"/>
  <c r="L16" i="33"/>
  <c r="L17" i="33"/>
  <c r="L18" i="33"/>
  <c r="L19" i="33"/>
  <c r="L20" i="33"/>
  <c r="L21" i="33"/>
  <c r="L22" i="33"/>
  <c r="L23" i="33"/>
  <c r="L24" i="33"/>
  <c r="L25" i="33"/>
  <c r="L26" i="33"/>
  <c r="L27" i="33"/>
  <c r="L28" i="33"/>
  <c r="L29" i="33"/>
  <c r="L30" i="33"/>
  <c r="L6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6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B7" i="33"/>
  <c r="C7" i="33"/>
  <c r="D7" i="33"/>
  <c r="E7" i="33"/>
  <c r="F7" i="33"/>
  <c r="G7" i="33"/>
  <c r="B8" i="33"/>
  <c r="C8" i="33"/>
  <c r="D8" i="33"/>
  <c r="E8" i="33"/>
  <c r="F8" i="33"/>
  <c r="G8" i="33"/>
  <c r="B9" i="33"/>
  <c r="C9" i="33"/>
  <c r="D9" i="33"/>
  <c r="E9" i="33"/>
  <c r="F9" i="33"/>
  <c r="G9" i="33"/>
  <c r="B10" i="33"/>
  <c r="C10" i="33"/>
  <c r="D10" i="33"/>
  <c r="E10" i="33"/>
  <c r="F10" i="33"/>
  <c r="G10" i="33"/>
  <c r="B11" i="33"/>
  <c r="C11" i="33"/>
  <c r="D11" i="33"/>
  <c r="E11" i="33"/>
  <c r="F11" i="33"/>
  <c r="G11" i="33"/>
  <c r="B12" i="33"/>
  <c r="C12" i="33"/>
  <c r="D12" i="33"/>
  <c r="E12" i="33"/>
  <c r="F12" i="33"/>
  <c r="G12" i="33"/>
  <c r="B13" i="33"/>
  <c r="C13" i="33"/>
  <c r="D13" i="33"/>
  <c r="E13" i="33"/>
  <c r="F13" i="33"/>
  <c r="G13" i="33"/>
  <c r="B14" i="33"/>
  <c r="C14" i="33"/>
  <c r="D14" i="33"/>
  <c r="E14" i="33"/>
  <c r="F14" i="33"/>
  <c r="G14" i="33"/>
  <c r="B15" i="33"/>
  <c r="C15" i="33"/>
  <c r="D15" i="33"/>
  <c r="E15" i="33"/>
  <c r="F15" i="33"/>
  <c r="G15" i="33"/>
  <c r="B16" i="33"/>
  <c r="C16" i="33"/>
  <c r="D16" i="33"/>
  <c r="E16" i="33"/>
  <c r="F16" i="33"/>
  <c r="G16" i="33"/>
  <c r="B17" i="33"/>
  <c r="C17" i="33"/>
  <c r="D17" i="33"/>
  <c r="E17" i="33"/>
  <c r="F17" i="33"/>
  <c r="G17" i="33"/>
  <c r="B18" i="33"/>
  <c r="C18" i="33"/>
  <c r="D18" i="33"/>
  <c r="E18" i="33"/>
  <c r="F18" i="33"/>
  <c r="G18" i="33"/>
  <c r="B19" i="33"/>
  <c r="C19" i="33"/>
  <c r="D19" i="33"/>
  <c r="E19" i="33"/>
  <c r="F19" i="33"/>
  <c r="G19" i="33"/>
  <c r="B20" i="33"/>
  <c r="C20" i="33"/>
  <c r="D20" i="33"/>
  <c r="E20" i="33"/>
  <c r="F20" i="33"/>
  <c r="G20" i="33"/>
  <c r="B21" i="33"/>
  <c r="C21" i="33"/>
  <c r="D21" i="33"/>
  <c r="E21" i="33"/>
  <c r="F21" i="33"/>
  <c r="G21" i="33"/>
  <c r="B22" i="33"/>
  <c r="C22" i="33"/>
  <c r="D22" i="33"/>
  <c r="E22" i="33"/>
  <c r="F22" i="33"/>
  <c r="G22" i="33"/>
  <c r="B23" i="33"/>
  <c r="C23" i="33"/>
  <c r="D23" i="33"/>
  <c r="E23" i="33"/>
  <c r="F23" i="33"/>
  <c r="G23" i="33"/>
  <c r="B24" i="33"/>
  <c r="C24" i="33"/>
  <c r="D24" i="33"/>
  <c r="E24" i="33"/>
  <c r="F24" i="33"/>
  <c r="G24" i="33"/>
  <c r="B25" i="33"/>
  <c r="C25" i="33"/>
  <c r="D25" i="33"/>
  <c r="E25" i="33"/>
  <c r="F25" i="33"/>
  <c r="G25" i="33"/>
  <c r="B26" i="33"/>
  <c r="C26" i="33"/>
  <c r="D26" i="33"/>
  <c r="E26" i="33"/>
  <c r="F26" i="33"/>
  <c r="G26" i="33"/>
  <c r="B27" i="33"/>
  <c r="C27" i="33"/>
  <c r="D27" i="33"/>
  <c r="E27" i="33"/>
  <c r="F27" i="33"/>
  <c r="G27" i="33"/>
  <c r="B28" i="33"/>
  <c r="C28" i="33"/>
  <c r="D28" i="33"/>
  <c r="E28" i="33"/>
  <c r="F28" i="33"/>
  <c r="G28" i="33"/>
  <c r="B29" i="33"/>
  <c r="C29" i="33"/>
  <c r="D29" i="33"/>
  <c r="E29" i="33"/>
  <c r="F29" i="33"/>
  <c r="G29" i="33"/>
  <c r="B30" i="33"/>
  <c r="C30" i="33"/>
  <c r="D30" i="33"/>
  <c r="E30" i="33"/>
  <c r="F30" i="33"/>
  <c r="G30" i="33"/>
  <c r="B31" i="33"/>
  <c r="C31" i="33"/>
  <c r="D31" i="33"/>
  <c r="E31" i="33"/>
  <c r="F31" i="33"/>
  <c r="G31" i="33"/>
  <c r="G6" i="33"/>
  <c r="F6" i="33"/>
  <c r="D6" i="33"/>
  <c r="E6" i="33"/>
  <c r="C6" i="33"/>
  <c r="B6" i="33"/>
  <c r="P44" i="32"/>
  <c r="O44" i="32"/>
  <c r="N44" i="32"/>
  <c r="P43" i="32"/>
  <c r="O43" i="32"/>
  <c r="N43" i="32"/>
  <c r="P42" i="32"/>
  <c r="O42" i="32"/>
  <c r="N42" i="32"/>
  <c r="P41" i="32"/>
  <c r="O41" i="32"/>
  <c r="N41" i="32"/>
  <c r="P40" i="32"/>
  <c r="O40" i="32"/>
  <c r="N40" i="32"/>
  <c r="P39" i="32"/>
  <c r="O39" i="32"/>
  <c r="N39" i="32"/>
  <c r="P38" i="32"/>
  <c r="O38" i="32"/>
  <c r="N38" i="32"/>
  <c r="P37" i="32"/>
  <c r="O37" i="32"/>
  <c r="N37" i="32"/>
  <c r="P36" i="32"/>
  <c r="O36" i="32"/>
  <c r="N36" i="32"/>
  <c r="P35" i="32"/>
  <c r="O35" i="32"/>
  <c r="N35" i="32"/>
  <c r="P34" i="32"/>
  <c r="O34" i="32"/>
  <c r="N34" i="32"/>
  <c r="P33" i="32"/>
  <c r="O33" i="32"/>
  <c r="N33" i="32"/>
  <c r="P32" i="32"/>
  <c r="O32" i="32"/>
  <c r="N32" i="32"/>
  <c r="J33" i="32"/>
  <c r="J34" i="32"/>
  <c r="J35" i="32"/>
  <c r="J36" i="32"/>
  <c r="J37" i="32"/>
  <c r="J38" i="32"/>
  <c r="J39" i="32"/>
  <c r="J40" i="32"/>
  <c r="J41" i="32"/>
  <c r="J42" i="32"/>
  <c r="J43" i="32"/>
  <c r="J44" i="32"/>
  <c r="J45" i="32"/>
  <c r="J46" i="32"/>
  <c r="J47" i="32"/>
  <c r="J48" i="32"/>
  <c r="J49" i="32"/>
  <c r="J50" i="32"/>
  <c r="J51" i="32"/>
  <c r="J52" i="32"/>
  <c r="J53" i="32"/>
  <c r="J54" i="32"/>
  <c r="J55" i="32"/>
  <c r="J56" i="32"/>
  <c r="J57" i="32"/>
  <c r="J32" i="32"/>
  <c r="H33" i="32"/>
  <c r="I33" i="32"/>
  <c r="H34" i="32"/>
  <c r="I34" i="32"/>
  <c r="H35" i="32"/>
  <c r="I35" i="32"/>
  <c r="H36" i="32"/>
  <c r="I36" i="32"/>
  <c r="H37" i="32"/>
  <c r="I37" i="32"/>
  <c r="H38" i="32"/>
  <c r="I38" i="32"/>
  <c r="H39" i="32"/>
  <c r="I39" i="32"/>
  <c r="H40" i="32"/>
  <c r="I40" i="32"/>
  <c r="H41" i="32"/>
  <c r="I41" i="32"/>
  <c r="H42" i="32"/>
  <c r="I42" i="32"/>
  <c r="H43" i="32"/>
  <c r="I43" i="32"/>
  <c r="H44" i="32"/>
  <c r="I44" i="32"/>
  <c r="H45" i="32"/>
  <c r="I45" i="32"/>
  <c r="H46" i="32"/>
  <c r="I46" i="32"/>
  <c r="H47" i="32"/>
  <c r="I47" i="32"/>
  <c r="H48" i="32"/>
  <c r="I48" i="32"/>
  <c r="H49" i="32"/>
  <c r="I49" i="32"/>
  <c r="H50" i="32"/>
  <c r="I50" i="32"/>
  <c r="H51" i="32"/>
  <c r="I51" i="32"/>
  <c r="H52" i="32"/>
  <c r="I52" i="32"/>
  <c r="H53" i="32"/>
  <c r="I53" i="32"/>
  <c r="H54" i="32"/>
  <c r="I54" i="32"/>
  <c r="H55" i="32"/>
  <c r="I55" i="32"/>
  <c r="H56" i="32"/>
  <c r="I56" i="32"/>
  <c r="H57" i="32"/>
  <c r="I57" i="32"/>
  <c r="I32" i="32"/>
  <c r="H32" i="32"/>
  <c r="B57" i="32"/>
  <c r="C57" i="32"/>
  <c r="D57" i="32"/>
  <c r="B33" i="32"/>
  <c r="C33" i="32"/>
  <c r="D33" i="32"/>
  <c r="B34" i="32"/>
  <c r="C34" i="32"/>
  <c r="D34" i="32"/>
  <c r="B35" i="32"/>
  <c r="C35" i="32"/>
  <c r="D35" i="32"/>
  <c r="B36" i="32"/>
  <c r="C36" i="32"/>
  <c r="D36" i="32"/>
  <c r="B37" i="32"/>
  <c r="C37" i="32"/>
  <c r="D37" i="32"/>
  <c r="B38" i="32"/>
  <c r="C38" i="32"/>
  <c r="D38" i="32"/>
  <c r="B39" i="32"/>
  <c r="C39" i="32"/>
  <c r="D39" i="32"/>
  <c r="B40" i="32"/>
  <c r="C40" i="32"/>
  <c r="D40" i="32"/>
  <c r="B41" i="32"/>
  <c r="C41" i="32"/>
  <c r="D41" i="32"/>
  <c r="B42" i="32"/>
  <c r="C42" i="32"/>
  <c r="D42" i="32"/>
  <c r="B43" i="32"/>
  <c r="C43" i="32"/>
  <c r="D43" i="32"/>
  <c r="B44" i="32"/>
  <c r="C44" i="32"/>
  <c r="D44" i="32"/>
  <c r="B45" i="32"/>
  <c r="C45" i="32"/>
  <c r="D45" i="32"/>
  <c r="B46" i="32"/>
  <c r="C46" i="32"/>
  <c r="D46" i="32"/>
  <c r="B47" i="32"/>
  <c r="C47" i="32"/>
  <c r="D47" i="32"/>
  <c r="B48" i="32"/>
  <c r="C48" i="32"/>
  <c r="D48" i="32"/>
  <c r="B49" i="32"/>
  <c r="C49" i="32"/>
  <c r="D49" i="32"/>
  <c r="B50" i="32"/>
  <c r="C50" i="32"/>
  <c r="D50" i="32"/>
  <c r="B51" i="32"/>
  <c r="C51" i="32"/>
  <c r="D51" i="32"/>
  <c r="B52" i="32"/>
  <c r="C52" i="32"/>
  <c r="D52" i="32"/>
  <c r="B53" i="32"/>
  <c r="C53" i="32"/>
  <c r="D53" i="32"/>
  <c r="B54" i="32"/>
  <c r="C54" i="32"/>
  <c r="D54" i="32"/>
  <c r="B55" i="32"/>
  <c r="C55" i="32"/>
  <c r="D55" i="32"/>
  <c r="B56" i="32"/>
  <c r="C56" i="32"/>
  <c r="D56" i="32"/>
  <c r="D32" i="32"/>
  <c r="C32" i="32"/>
  <c r="B32" i="32"/>
  <c r="N15" i="32"/>
  <c r="O15" i="32"/>
  <c r="P15" i="32"/>
  <c r="P14" i="32"/>
  <c r="O14" i="32"/>
  <c r="N14" i="32"/>
  <c r="P13" i="32"/>
  <c r="O13" i="32"/>
  <c r="N13" i="32"/>
  <c r="P12" i="32"/>
  <c r="O12" i="32"/>
  <c r="N12" i="32"/>
  <c r="P11" i="32"/>
  <c r="O11" i="32"/>
  <c r="N11" i="32"/>
  <c r="P10" i="32"/>
  <c r="O10" i="32"/>
  <c r="N10" i="32"/>
  <c r="P9" i="32"/>
  <c r="O9" i="32"/>
  <c r="N9" i="32"/>
  <c r="P8" i="32"/>
  <c r="O8" i="32"/>
  <c r="N8" i="32"/>
  <c r="P7" i="32"/>
  <c r="O7" i="32"/>
  <c r="N7" i="32"/>
  <c r="P6" i="32"/>
  <c r="O6" i="32"/>
  <c r="N6" i="32"/>
  <c r="P5" i="32"/>
  <c r="O5" i="32"/>
  <c r="N5" i="32"/>
  <c r="P4" i="32"/>
  <c r="O4" i="32"/>
  <c r="N4" i="32"/>
  <c r="P3" i="32"/>
  <c r="O3" i="32"/>
  <c r="N3" i="32"/>
  <c r="H4" i="32"/>
  <c r="I4" i="32"/>
  <c r="J4" i="32"/>
  <c r="H5" i="32"/>
  <c r="I5" i="32"/>
  <c r="J5" i="32"/>
  <c r="H6" i="32"/>
  <c r="I6" i="32"/>
  <c r="J6" i="32"/>
  <c r="H7" i="32"/>
  <c r="I7" i="32"/>
  <c r="J7" i="32"/>
  <c r="H8" i="32"/>
  <c r="I8" i="32"/>
  <c r="J8" i="32"/>
  <c r="H9" i="32"/>
  <c r="I9" i="32"/>
  <c r="J9" i="32"/>
  <c r="H10" i="32"/>
  <c r="I10" i="32"/>
  <c r="J10" i="32"/>
  <c r="H11" i="32"/>
  <c r="I11" i="32"/>
  <c r="J11" i="32"/>
  <c r="H12" i="32"/>
  <c r="I12" i="32"/>
  <c r="J12" i="32"/>
  <c r="H13" i="32"/>
  <c r="I13" i="32"/>
  <c r="J13" i="32"/>
  <c r="H14" i="32"/>
  <c r="I14" i="32"/>
  <c r="J14" i="32"/>
  <c r="H15" i="32"/>
  <c r="I15" i="32"/>
  <c r="J15" i="32"/>
  <c r="H16" i="32"/>
  <c r="I16" i="32"/>
  <c r="J16" i="32"/>
  <c r="H17" i="32"/>
  <c r="I17" i="32"/>
  <c r="J17" i="32"/>
  <c r="H18" i="32"/>
  <c r="I18" i="32"/>
  <c r="J18" i="32"/>
  <c r="H19" i="32"/>
  <c r="I19" i="32"/>
  <c r="J19" i="32"/>
  <c r="H20" i="32"/>
  <c r="I20" i="32"/>
  <c r="J20" i="32"/>
  <c r="H21" i="32"/>
  <c r="I21" i="32"/>
  <c r="J21" i="32"/>
  <c r="H22" i="32"/>
  <c r="I22" i="32"/>
  <c r="J22" i="32"/>
  <c r="H23" i="32"/>
  <c r="I23" i="32"/>
  <c r="J23" i="32"/>
  <c r="H24" i="32"/>
  <c r="I24" i="32"/>
  <c r="J24" i="32"/>
  <c r="H25" i="32"/>
  <c r="I25" i="32"/>
  <c r="J25" i="32"/>
  <c r="H26" i="32"/>
  <c r="I26" i="32"/>
  <c r="J26" i="32"/>
  <c r="H27" i="32"/>
  <c r="I27" i="32"/>
  <c r="J27" i="32"/>
  <c r="J3" i="32"/>
  <c r="H3" i="32"/>
  <c r="I3" i="32"/>
  <c r="D4" i="32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3" i="32"/>
  <c r="C4" i="32"/>
  <c r="C5" i="32"/>
  <c r="C6" i="32"/>
  <c r="C7" i="32"/>
  <c r="C8" i="32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3" i="32"/>
  <c r="B4" i="32"/>
  <c r="B5" i="32"/>
  <c r="B6" i="32"/>
  <c r="B7" i="32"/>
  <c r="B8" i="32"/>
  <c r="B9" i="32"/>
  <c r="B10" i="32"/>
  <c r="B11" i="32"/>
  <c r="B12" i="32"/>
  <c r="B13" i="32"/>
  <c r="B14" i="32"/>
  <c r="B15" i="32"/>
  <c r="B16" i="32"/>
  <c r="B17" i="32"/>
  <c r="B18" i="32"/>
  <c r="B19" i="32"/>
  <c r="B20" i="32"/>
  <c r="B21" i="32"/>
  <c r="B22" i="32"/>
  <c r="B23" i="32"/>
  <c r="B24" i="32"/>
  <c r="B25" i="32"/>
  <c r="B26" i="32"/>
  <c r="B27" i="32"/>
  <c r="B3" i="32"/>
  <c r="L65" i="31"/>
  <c r="L66" i="31"/>
  <c r="L67" i="31"/>
  <c r="L68" i="31"/>
  <c r="L69" i="31"/>
  <c r="L70" i="31"/>
  <c r="L71" i="31"/>
  <c r="L72" i="31"/>
  <c r="L73" i="31"/>
  <c r="L74" i="31"/>
  <c r="L75" i="31"/>
  <c r="L76" i="31"/>
  <c r="L77" i="31"/>
  <c r="L78" i="31"/>
  <c r="L79" i="31"/>
  <c r="L80" i="31"/>
  <c r="L81" i="31"/>
  <c r="L82" i="31"/>
  <c r="L83" i="31"/>
  <c r="L84" i="31"/>
  <c r="L85" i="31"/>
  <c r="L86" i="31"/>
  <c r="L87" i="31"/>
  <c r="L88" i="31"/>
  <c r="L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64" i="31"/>
  <c r="I65" i="31"/>
  <c r="I66" i="31"/>
  <c r="I67" i="31"/>
  <c r="I68" i="31"/>
  <c r="I69" i="31"/>
  <c r="I70" i="31"/>
  <c r="I71" i="31"/>
  <c r="I72" i="31"/>
  <c r="I73" i="31"/>
  <c r="I74" i="31"/>
  <c r="I75" i="31"/>
  <c r="I76" i="31"/>
  <c r="I77" i="31"/>
  <c r="I78" i="31"/>
  <c r="I79" i="31"/>
  <c r="I80" i="31"/>
  <c r="I81" i="31"/>
  <c r="I82" i="31"/>
  <c r="I83" i="31"/>
  <c r="I84" i="31"/>
  <c r="I85" i="31"/>
  <c r="I86" i="31"/>
  <c r="I87" i="31"/>
  <c r="I88" i="31"/>
  <c r="I64" i="31"/>
  <c r="J65" i="31"/>
  <c r="K65" i="31"/>
  <c r="J66" i="31"/>
  <c r="K66" i="31"/>
  <c r="J67" i="31"/>
  <c r="K67" i="31"/>
  <c r="J68" i="31"/>
  <c r="K68" i="31"/>
  <c r="J69" i="31"/>
  <c r="K69" i="31"/>
  <c r="J70" i="31"/>
  <c r="K70" i="31"/>
  <c r="J71" i="31"/>
  <c r="K71" i="31"/>
  <c r="J72" i="31"/>
  <c r="K72" i="31"/>
  <c r="J73" i="31"/>
  <c r="K73" i="31"/>
  <c r="J74" i="31"/>
  <c r="K74" i="31"/>
  <c r="J75" i="31"/>
  <c r="K75" i="31"/>
  <c r="J76" i="31"/>
  <c r="K76" i="31"/>
  <c r="J77" i="31"/>
  <c r="K77" i="31"/>
  <c r="J78" i="31"/>
  <c r="K78" i="31"/>
  <c r="J79" i="31"/>
  <c r="K79" i="31"/>
  <c r="J80" i="31"/>
  <c r="K80" i="31"/>
  <c r="J81" i="31"/>
  <c r="K81" i="31"/>
  <c r="J82" i="31"/>
  <c r="K82" i="31"/>
  <c r="J83" i="31"/>
  <c r="K83" i="31"/>
  <c r="J84" i="31"/>
  <c r="K84" i="31"/>
  <c r="J85" i="31"/>
  <c r="K85" i="31"/>
  <c r="J86" i="31"/>
  <c r="K86" i="31"/>
  <c r="J87" i="31"/>
  <c r="K87" i="31"/>
  <c r="J88" i="31"/>
  <c r="K88" i="31"/>
  <c r="K64" i="31"/>
  <c r="J64" i="31"/>
  <c r="N65" i="31"/>
  <c r="N66" i="31"/>
  <c r="N67" i="31"/>
  <c r="N68" i="31"/>
  <c r="N69" i="31"/>
  <c r="N70" i="31"/>
  <c r="N71" i="31"/>
  <c r="N72" i="31"/>
  <c r="N73" i="31"/>
  <c r="N74" i="31"/>
  <c r="N75" i="31"/>
  <c r="N76" i="31"/>
  <c r="N77" i="31"/>
  <c r="N78" i="31"/>
  <c r="N79" i="31"/>
  <c r="N80" i="31"/>
  <c r="N81" i="31"/>
  <c r="N82" i="31"/>
  <c r="N83" i="31"/>
  <c r="N84" i="31"/>
  <c r="N85" i="31"/>
  <c r="N86" i="31"/>
  <c r="N87" i="31"/>
  <c r="N88" i="31"/>
  <c r="N64" i="31"/>
  <c r="M65" i="31"/>
  <c r="O65" i="31"/>
  <c r="M66" i="31"/>
  <c r="O66" i="31"/>
  <c r="M67" i="31"/>
  <c r="O67" i="31"/>
  <c r="M68" i="31"/>
  <c r="O68" i="31"/>
  <c r="M69" i="31"/>
  <c r="O69" i="31"/>
  <c r="M70" i="31"/>
  <c r="O70" i="31"/>
  <c r="M71" i="31"/>
  <c r="O71" i="31"/>
  <c r="M72" i="31"/>
  <c r="O72" i="31"/>
  <c r="M73" i="31"/>
  <c r="O73" i="31"/>
  <c r="M74" i="31"/>
  <c r="O74" i="31"/>
  <c r="M75" i="31"/>
  <c r="O75" i="31"/>
  <c r="M76" i="31"/>
  <c r="O76" i="31"/>
  <c r="M77" i="31"/>
  <c r="O77" i="31"/>
  <c r="M78" i="31"/>
  <c r="O78" i="31"/>
  <c r="M79" i="31"/>
  <c r="O79" i="31"/>
  <c r="M80" i="31"/>
  <c r="O80" i="31"/>
  <c r="M81" i="31"/>
  <c r="O81" i="31"/>
  <c r="M82" i="31"/>
  <c r="O82" i="31"/>
  <c r="M83" i="31"/>
  <c r="O83" i="31"/>
  <c r="M84" i="31"/>
  <c r="O84" i="31"/>
  <c r="M85" i="31"/>
  <c r="O85" i="31"/>
  <c r="M86" i="31"/>
  <c r="O86" i="31"/>
  <c r="M87" i="31"/>
  <c r="O87" i="31"/>
  <c r="M88" i="31"/>
  <c r="O88" i="31"/>
  <c r="M64" i="31"/>
  <c r="O64" i="31"/>
  <c r="H36" i="31"/>
  <c r="I36" i="31"/>
  <c r="J36" i="31"/>
  <c r="K36" i="31"/>
  <c r="L36" i="31"/>
  <c r="M36" i="31"/>
  <c r="N36" i="31"/>
  <c r="O36" i="31"/>
  <c r="H37" i="31"/>
  <c r="I37" i="31"/>
  <c r="J37" i="31"/>
  <c r="K37" i="31"/>
  <c r="L37" i="31"/>
  <c r="M37" i="31"/>
  <c r="N37" i="31"/>
  <c r="O37" i="31"/>
  <c r="H38" i="31"/>
  <c r="I38" i="31"/>
  <c r="J38" i="31"/>
  <c r="K38" i="31"/>
  <c r="L38" i="31"/>
  <c r="M38" i="31"/>
  <c r="N38" i="31"/>
  <c r="O38" i="31"/>
  <c r="H39" i="31"/>
  <c r="I39" i="31"/>
  <c r="J39" i="31"/>
  <c r="K39" i="31"/>
  <c r="L39" i="31"/>
  <c r="M39" i="31"/>
  <c r="N39" i="31"/>
  <c r="O39" i="31"/>
  <c r="H40" i="31"/>
  <c r="I40" i="31"/>
  <c r="J40" i="31"/>
  <c r="K40" i="31"/>
  <c r="L40" i="31"/>
  <c r="M40" i="31"/>
  <c r="N40" i="31"/>
  <c r="O40" i="31"/>
  <c r="H41" i="31"/>
  <c r="I41" i="31"/>
  <c r="J41" i="31"/>
  <c r="K41" i="31"/>
  <c r="L41" i="31"/>
  <c r="M41" i="31"/>
  <c r="N41" i="31"/>
  <c r="O41" i="31"/>
  <c r="H42" i="31"/>
  <c r="I42" i="31"/>
  <c r="J42" i="31"/>
  <c r="K42" i="31"/>
  <c r="L42" i="31"/>
  <c r="M42" i="31"/>
  <c r="N42" i="31"/>
  <c r="O42" i="31"/>
  <c r="H43" i="31"/>
  <c r="I43" i="31"/>
  <c r="J43" i="31"/>
  <c r="K43" i="31"/>
  <c r="L43" i="31"/>
  <c r="M43" i="31"/>
  <c r="N43" i="31"/>
  <c r="O43" i="31"/>
  <c r="H44" i="31"/>
  <c r="I44" i="31"/>
  <c r="J44" i="31"/>
  <c r="K44" i="31"/>
  <c r="L44" i="31"/>
  <c r="M44" i="31"/>
  <c r="N44" i="31"/>
  <c r="O44" i="31"/>
  <c r="H45" i="31"/>
  <c r="I45" i="31"/>
  <c r="J45" i="31"/>
  <c r="K45" i="31"/>
  <c r="L45" i="31"/>
  <c r="M45" i="31"/>
  <c r="N45" i="31"/>
  <c r="O45" i="31"/>
  <c r="H46" i="31"/>
  <c r="I46" i="31"/>
  <c r="J46" i="31"/>
  <c r="K46" i="31"/>
  <c r="L46" i="31"/>
  <c r="M46" i="31"/>
  <c r="N46" i="31"/>
  <c r="O46" i="31"/>
  <c r="H47" i="31"/>
  <c r="I47" i="31"/>
  <c r="J47" i="31"/>
  <c r="K47" i="31"/>
  <c r="L47" i="31"/>
  <c r="M47" i="31"/>
  <c r="N47" i="31"/>
  <c r="O47" i="31"/>
  <c r="H48" i="31"/>
  <c r="I48" i="31"/>
  <c r="J48" i="31"/>
  <c r="K48" i="31"/>
  <c r="L48" i="31"/>
  <c r="M48" i="31"/>
  <c r="N48" i="31"/>
  <c r="O48" i="31"/>
  <c r="H49" i="31"/>
  <c r="I49" i="31"/>
  <c r="J49" i="31"/>
  <c r="K49" i="31"/>
  <c r="L49" i="31"/>
  <c r="M49" i="31"/>
  <c r="N49" i="31"/>
  <c r="O49" i="31"/>
  <c r="H50" i="31"/>
  <c r="I50" i="31"/>
  <c r="J50" i="31"/>
  <c r="K50" i="31"/>
  <c r="L50" i="31"/>
  <c r="M50" i="31"/>
  <c r="N50" i="31"/>
  <c r="O50" i="31"/>
  <c r="H51" i="31"/>
  <c r="I51" i="31"/>
  <c r="J51" i="31"/>
  <c r="K51" i="31"/>
  <c r="L51" i="31"/>
  <c r="M51" i="31"/>
  <c r="N51" i="31"/>
  <c r="O51" i="31"/>
  <c r="H52" i="31"/>
  <c r="I52" i="31"/>
  <c r="J52" i="31"/>
  <c r="K52" i="31"/>
  <c r="L52" i="31"/>
  <c r="M52" i="31"/>
  <c r="N52" i="31"/>
  <c r="O52" i="31"/>
  <c r="H53" i="31"/>
  <c r="I53" i="31"/>
  <c r="J53" i="31"/>
  <c r="K53" i="31"/>
  <c r="L53" i="31"/>
  <c r="M53" i="31"/>
  <c r="N53" i="31"/>
  <c r="O53" i="31"/>
  <c r="H54" i="31"/>
  <c r="I54" i="31"/>
  <c r="J54" i="31"/>
  <c r="K54" i="31"/>
  <c r="L54" i="31"/>
  <c r="M54" i="31"/>
  <c r="N54" i="31"/>
  <c r="O54" i="31"/>
  <c r="H55" i="31"/>
  <c r="I55" i="31"/>
  <c r="J55" i="31"/>
  <c r="K55" i="31"/>
  <c r="L55" i="31"/>
  <c r="M55" i="31"/>
  <c r="N55" i="31"/>
  <c r="O55" i="31"/>
  <c r="H56" i="31"/>
  <c r="I56" i="31"/>
  <c r="J56" i="31"/>
  <c r="K56" i="31"/>
  <c r="L56" i="31"/>
  <c r="M56" i="31"/>
  <c r="N56" i="31"/>
  <c r="O56" i="31"/>
  <c r="H57" i="31"/>
  <c r="I57" i="31"/>
  <c r="J57" i="31"/>
  <c r="K57" i="31"/>
  <c r="L57" i="31"/>
  <c r="M57" i="31"/>
  <c r="N57" i="31"/>
  <c r="O57" i="31"/>
  <c r="H58" i="31"/>
  <c r="I58" i="31"/>
  <c r="J58" i="31"/>
  <c r="K58" i="31"/>
  <c r="L58" i="31"/>
  <c r="M58" i="31"/>
  <c r="N58" i="31"/>
  <c r="O58" i="31"/>
  <c r="H59" i="31"/>
  <c r="I59" i="31"/>
  <c r="J59" i="31"/>
  <c r="K59" i="31"/>
  <c r="L59" i="31"/>
  <c r="M59" i="31"/>
  <c r="N59" i="31"/>
  <c r="O59" i="31"/>
  <c r="O35" i="31"/>
  <c r="I35" i="31"/>
  <c r="J35" i="31"/>
  <c r="K35" i="31"/>
  <c r="L35" i="31"/>
  <c r="H35" i="31"/>
  <c r="N35" i="31"/>
  <c r="M35" i="31"/>
  <c r="L6" i="31"/>
  <c r="M6" i="31"/>
  <c r="N6" i="31"/>
  <c r="O6" i="31"/>
  <c r="P6" i="31"/>
  <c r="L7" i="31"/>
  <c r="M7" i="31"/>
  <c r="N7" i="31"/>
  <c r="O7" i="31"/>
  <c r="P7" i="31"/>
  <c r="L8" i="31"/>
  <c r="M8" i="31"/>
  <c r="N8" i="31"/>
  <c r="O8" i="31"/>
  <c r="P8" i="31"/>
  <c r="L9" i="31"/>
  <c r="M9" i="31"/>
  <c r="N9" i="31"/>
  <c r="O9" i="31"/>
  <c r="P9" i="31"/>
  <c r="L10" i="31"/>
  <c r="M10" i="31"/>
  <c r="N10" i="31"/>
  <c r="O10" i="31"/>
  <c r="P10" i="31"/>
  <c r="L11" i="31"/>
  <c r="M11" i="31"/>
  <c r="N11" i="31"/>
  <c r="O11" i="31"/>
  <c r="P11" i="31"/>
  <c r="L12" i="31"/>
  <c r="M12" i="31"/>
  <c r="N12" i="31"/>
  <c r="O12" i="31"/>
  <c r="P12" i="31"/>
  <c r="L13" i="31"/>
  <c r="M13" i="31"/>
  <c r="N13" i="31"/>
  <c r="O13" i="31"/>
  <c r="P13" i="31"/>
  <c r="L14" i="31"/>
  <c r="M14" i="31"/>
  <c r="N14" i="31"/>
  <c r="O14" i="31"/>
  <c r="P14" i="31"/>
  <c r="L15" i="31"/>
  <c r="M15" i="31"/>
  <c r="N15" i="31"/>
  <c r="O15" i="31"/>
  <c r="P15" i="31"/>
  <c r="L16" i="31"/>
  <c r="M16" i="31"/>
  <c r="N16" i="31"/>
  <c r="O16" i="31"/>
  <c r="P16" i="31"/>
  <c r="L17" i="31"/>
  <c r="M17" i="31"/>
  <c r="N17" i="31"/>
  <c r="O17" i="31"/>
  <c r="P17" i="31"/>
  <c r="L18" i="31"/>
  <c r="M18" i="31"/>
  <c r="N18" i="31"/>
  <c r="O18" i="31"/>
  <c r="P18" i="31"/>
  <c r="L19" i="31"/>
  <c r="M19" i="31"/>
  <c r="N19" i="31"/>
  <c r="O19" i="31"/>
  <c r="P19" i="31"/>
  <c r="L20" i="31"/>
  <c r="M20" i="31"/>
  <c r="N20" i="31"/>
  <c r="O20" i="31"/>
  <c r="P20" i="31"/>
  <c r="L21" i="31"/>
  <c r="M21" i="31"/>
  <c r="N21" i="31"/>
  <c r="O21" i="31"/>
  <c r="P21" i="31"/>
  <c r="L22" i="31"/>
  <c r="M22" i="31"/>
  <c r="N22" i="31"/>
  <c r="O22" i="31"/>
  <c r="P22" i="31"/>
  <c r="L23" i="31"/>
  <c r="M23" i="31"/>
  <c r="N23" i="31"/>
  <c r="O23" i="31"/>
  <c r="P23" i="31"/>
  <c r="L24" i="31"/>
  <c r="M24" i="31"/>
  <c r="N24" i="31"/>
  <c r="O24" i="31"/>
  <c r="P24" i="31"/>
  <c r="L25" i="31"/>
  <c r="M25" i="31"/>
  <c r="N25" i="31"/>
  <c r="O25" i="31"/>
  <c r="P25" i="31"/>
  <c r="L26" i="31"/>
  <c r="M26" i="31"/>
  <c r="N26" i="31"/>
  <c r="O26" i="31"/>
  <c r="P26" i="31"/>
  <c r="L27" i="31"/>
  <c r="M27" i="31"/>
  <c r="N27" i="31"/>
  <c r="O27" i="31"/>
  <c r="P27" i="31"/>
  <c r="L28" i="31"/>
  <c r="M28" i="31"/>
  <c r="N28" i="31"/>
  <c r="O28" i="31"/>
  <c r="P28" i="31"/>
  <c r="L29" i="31"/>
  <c r="M29" i="31"/>
  <c r="N29" i="31"/>
  <c r="O29" i="31"/>
  <c r="P29" i="31"/>
  <c r="P5" i="31"/>
  <c r="I5" i="31"/>
  <c r="O5" i="31"/>
  <c r="N5" i="31"/>
  <c r="M5" i="31"/>
  <c r="L5" i="31"/>
  <c r="H5" i="31"/>
  <c r="I6" i="31"/>
  <c r="I7" i="31"/>
  <c r="I8" i="31"/>
  <c r="I9" i="31"/>
  <c r="I10" i="31"/>
  <c r="I11" i="31"/>
  <c r="I12" i="31"/>
  <c r="I13" i="31"/>
  <c r="I14" i="31"/>
  <c r="I15" i="31"/>
  <c r="I16" i="31"/>
  <c r="I17" i="31"/>
  <c r="I18" i="31"/>
  <c r="I19" i="31"/>
  <c r="I20" i="31"/>
  <c r="I21" i="31"/>
  <c r="I22" i="31"/>
  <c r="I23" i="31"/>
  <c r="I24" i="31"/>
  <c r="I25" i="31"/>
  <c r="I26" i="31"/>
  <c r="I27" i="31"/>
  <c r="I28" i="31"/>
  <c r="I29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D5" i="31"/>
  <c r="E5" i="31"/>
  <c r="F5" i="31"/>
  <c r="G5" i="31"/>
  <c r="C5" i="31"/>
  <c r="M14" i="29"/>
  <c r="N14" i="29"/>
  <c r="O14" i="29"/>
  <c r="P14" i="29"/>
  <c r="P13" i="29"/>
  <c r="O13" i="29"/>
  <c r="N13" i="29"/>
  <c r="M13" i="29"/>
  <c r="P12" i="29"/>
  <c r="O12" i="29"/>
  <c r="N12" i="29"/>
  <c r="M12" i="29"/>
  <c r="P11" i="29"/>
  <c r="O11" i="29"/>
  <c r="N11" i="29"/>
  <c r="M11" i="29"/>
  <c r="P10" i="29"/>
  <c r="O10" i="29"/>
  <c r="N10" i="29"/>
  <c r="M10" i="29"/>
  <c r="P9" i="29"/>
  <c r="O9" i="29"/>
  <c r="N9" i="29"/>
  <c r="M9" i="29"/>
  <c r="P8" i="29"/>
  <c r="O8" i="29"/>
  <c r="N8" i="29"/>
  <c r="M8" i="29"/>
  <c r="P7" i="29"/>
  <c r="O7" i="29"/>
  <c r="N7" i="29"/>
  <c r="M7" i="29"/>
  <c r="P6" i="29"/>
  <c r="O6" i="29"/>
  <c r="N6" i="29"/>
  <c r="M6" i="29"/>
  <c r="P5" i="29"/>
  <c r="O5" i="29"/>
  <c r="N5" i="29"/>
  <c r="M5" i="29"/>
  <c r="P4" i="29"/>
  <c r="O4" i="29"/>
  <c r="N4" i="29"/>
  <c r="M4" i="29"/>
  <c r="P3" i="29"/>
  <c r="O3" i="29"/>
  <c r="N3" i="29"/>
  <c r="M3" i="29"/>
  <c r="P2" i="29"/>
  <c r="O2" i="29"/>
  <c r="N2" i="29"/>
  <c r="M2" i="29"/>
  <c r="J3" i="29"/>
  <c r="J4" i="29"/>
  <c r="J5" i="29"/>
  <c r="J6" i="29"/>
  <c r="J7" i="29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" i="29"/>
  <c r="I2" i="29"/>
  <c r="H2" i="29"/>
  <c r="G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G3" i="29"/>
  <c r="H3" i="29"/>
  <c r="G4" i="29"/>
  <c r="H4" i="29"/>
  <c r="G5" i="29"/>
  <c r="H5" i="29"/>
  <c r="G6" i="29"/>
  <c r="H6" i="29"/>
  <c r="G7" i="29"/>
  <c r="H7" i="29"/>
  <c r="G8" i="29"/>
  <c r="H8" i="29"/>
  <c r="G9" i="29"/>
  <c r="H9" i="29"/>
  <c r="G10" i="29"/>
  <c r="H10" i="29"/>
  <c r="G11" i="29"/>
  <c r="H11" i="29"/>
  <c r="G12" i="29"/>
  <c r="H12" i="29"/>
  <c r="G13" i="29"/>
  <c r="H13" i="29"/>
  <c r="G14" i="29"/>
  <c r="H14" i="29"/>
  <c r="G15" i="29"/>
  <c r="H15" i="29"/>
  <c r="G16" i="29"/>
  <c r="H16" i="29"/>
  <c r="G17" i="29"/>
  <c r="H17" i="29"/>
  <c r="G18" i="29"/>
  <c r="H18" i="29"/>
  <c r="G19" i="29"/>
  <c r="H19" i="29"/>
  <c r="G20" i="29"/>
  <c r="H20" i="29"/>
  <c r="G21" i="29"/>
  <c r="H21" i="29"/>
  <c r="G22" i="29"/>
  <c r="H22" i="29"/>
  <c r="G23" i="29"/>
  <c r="H23" i="29"/>
  <c r="G24" i="29"/>
  <c r="H24" i="29"/>
  <c r="G25" i="29"/>
  <c r="H25" i="29"/>
  <c r="G26" i="29"/>
  <c r="H26" i="29"/>
  <c r="C3" i="29"/>
  <c r="D3" i="29"/>
  <c r="C4" i="29"/>
  <c r="D4" i="29"/>
  <c r="C5" i="29"/>
  <c r="D5" i="29"/>
  <c r="C6" i="29"/>
  <c r="D6" i="29"/>
  <c r="C7" i="29"/>
  <c r="D7" i="29"/>
  <c r="C8" i="29"/>
  <c r="D8" i="29"/>
  <c r="C9" i="29"/>
  <c r="D9" i="29"/>
  <c r="C10" i="29"/>
  <c r="D10" i="29"/>
  <c r="C11" i="29"/>
  <c r="D11" i="29"/>
  <c r="C12" i="29"/>
  <c r="D12" i="29"/>
  <c r="C13" i="29"/>
  <c r="D13" i="29"/>
  <c r="C14" i="29"/>
  <c r="D14" i="29"/>
  <c r="C15" i="29"/>
  <c r="D15" i="29"/>
  <c r="C16" i="29"/>
  <c r="D16" i="29"/>
  <c r="C17" i="29"/>
  <c r="D17" i="29"/>
  <c r="C18" i="29"/>
  <c r="D18" i="29"/>
  <c r="C19" i="29"/>
  <c r="D19" i="29"/>
  <c r="C20" i="29"/>
  <c r="D20" i="29"/>
  <c r="C21" i="29"/>
  <c r="D21" i="29"/>
  <c r="C22" i="29"/>
  <c r="D22" i="29"/>
  <c r="C23" i="29"/>
  <c r="D23" i="29"/>
  <c r="C24" i="29"/>
  <c r="D24" i="29"/>
  <c r="C25" i="29"/>
  <c r="D25" i="29"/>
  <c r="C26" i="29"/>
  <c r="D26" i="29"/>
  <c r="D2" i="29"/>
  <c r="C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" i="29"/>
  <c r="G32" i="34" l="1"/>
  <c r="H32" i="34"/>
  <c r="E32" i="34"/>
  <c r="F32" i="34"/>
  <c r="N32" i="33"/>
  <c r="M32" i="33"/>
  <c r="L32" i="33"/>
  <c r="B34" i="28"/>
  <c r="C34" i="28"/>
  <c r="D34" i="28"/>
  <c r="E34" i="28"/>
  <c r="F34" i="28"/>
  <c r="G34" i="28"/>
  <c r="B35" i="28"/>
  <c r="C35" i="28"/>
  <c r="D35" i="28"/>
  <c r="E35" i="28"/>
  <c r="F35" i="28"/>
  <c r="G35" i="28"/>
  <c r="B36" i="28"/>
  <c r="C36" i="28"/>
  <c r="D36" i="28"/>
  <c r="E36" i="28"/>
  <c r="F36" i="28"/>
  <c r="G36" i="28"/>
  <c r="B37" i="28"/>
  <c r="C37" i="28"/>
  <c r="D37" i="28"/>
  <c r="E37" i="28"/>
  <c r="F37" i="28"/>
  <c r="G37" i="28"/>
  <c r="B38" i="28"/>
  <c r="C38" i="28"/>
  <c r="D38" i="28"/>
  <c r="E38" i="28"/>
  <c r="F38" i="28"/>
  <c r="G38" i="28"/>
  <c r="B39" i="28"/>
  <c r="C39" i="28"/>
  <c r="D39" i="28"/>
  <c r="E39" i="28"/>
  <c r="F39" i="28"/>
  <c r="G39" i="28"/>
  <c r="B40" i="28"/>
  <c r="C40" i="28"/>
  <c r="D40" i="28"/>
  <c r="E40" i="28"/>
  <c r="F40" i="28"/>
  <c r="G40" i="28"/>
  <c r="B41" i="28"/>
  <c r="C41" i="28"/>
  <c r="D41" i="28"/>
  <c r="E41" i="28"/>
  <c r="F41" i="28"/>
  <c r="G41" i="28"/>
  <c r="B42" i="28"/>
  <c r="C42" i="28"/>
  <c r="D42" i="28"/>
  <c r="E42" i="28"/>
  <c r="F42" i="28"/>
  <c r="G42" i="28"/>
  <c r="B43" i="28"/>
  <c r="C43" i="28"/>
  <c r="D43" i="28"/>
  <c r="E43" i="28"/>
  <c r="F43" i="28"/>
  <c r="G43" i="28"/>
  <c r="B44" i="28"/>
  <c r="C44" i="28"/>
  <c r="D44" i="28"/>
  <c r="E44" i="28"/>
  <c r="F44" i="28"/>
  <c r="G44" i="28"/>
  <c r="B45" i="28"/>
  <c r="C45" i="28"/>
  <c r="D45" i="28"/>
  <c r="E45" i="28"/>
  <c r="F45" i="28"/>
  <c r="G45" i="28"/>
  <c r="B46" i="28"/>
  <c r="C46" i="28"/>
  <c r="D46" i="28"/>
  <c r="E46" i="28"/>
  <c r="F46" i="28"/>
  <c r="G46" i="28"/>
  <c r="B47" i="28"/>
  <c r="C47" i="28"/>
  <c r="D47" i="28"/>
  <c r="E47" i="28"/>
  <c r="F47" i="28"/>
  <c r="G47" i="28"/>
  <c r="B48" i="28"/>
  <c r="C48" i="28"/>
  <c r="D48" i="28"/>
  <c r="E48" i="28"/>
  <c r="F48" i="28"/>
  <c r="G48" i="28"/>
  <c r="B49" i="28"/>
  <c r="C49" i="28"/>
  <c r="D49" i="28"/>
  <c r="E49" i="28"/>
  <c r="F49" i="28"/>
  <c r="G49" i="28"/>
  <c r="B50" i="28"/>
  <c r="C50" i="28"/>
  <c r="D50" i="28"/>
  <c r="E50" i="28"/>
  <c r="F50" i="28"/>
  <c r="G50" i="28"/>
  <c r="B51" i="28"/>
  <c r="C51" i="28"/>
  <c r="D51" i="28"/>
  <c r="E51" i="28"/>
  <c r="F51" i="28"/>
  <c r="G51" i="28"/>
  <c r="B52" i="28"/>
  <c r="C52" i="28"/>
  <c r="D52" i="28"/>
  <c r="E52" i="28"/>
  <c r="F52" i="28"/>
  <c r="G52" i="28"/>
  <c r="B53" i="28"/>
  <c r="C53" i="28"/>
  <c r="D53" i="28"/>
  <c r="E53" i="28"/>
  <c r="F53" i="28"/>
  <c r="G53" i="28"/>
  <c r="B54" i="28"/>
  <c r="C54" i="28"/>
  <c r="D54" i="28"/>
  <c r="E54" i="28"/>
  <c r="F54" i="28"/>
  <c r="G54" i="28"/>
  <c r="B55" i="28"/>
  <c r="C55" i="28"/>
  <c r="D55" i="28"/>
  <c r="E55" i="28"/>
  <c r="F55" i="28"/>
  <c r="G55" i="28"/>
  <c r="B56" i="28"/>
  <c r="C56" i="28"/>
  <c r="D56" i="28"/>
  <c r="E56" i="28"/>
  <c r="F56" i="28"/>
  <c r="G56" i="28"/>
  <c r="B57" i="28"/>
  <c r="C57" i="28"/>
  <c r="D57" i="28"/>
  <c r="E57" i="28"/>
  <c r="F57" i="28"/>
  <c r="G57" i="28"/>
  <c r="C33" i="28"/>
  <c r="D33" i="28"/>
  <c r="E33" i="28"/>
  <c r="F33" i="28"/>
  <c r="G33" i="28"/>
  <c r="B33" i="28"/>
  <c r="R34" i="28"/>
  <c r="R35" i="28"/>
  <c r="R36" i="28"/>
  <c r="R37" i="28"/>
  <c r="R38" i="28"/>
  <c r="R39" i="28"/>
  <c r="R40" i="28"/>
  <c r="R33" i="28"/>
  <c r="N34" i="28"/>
  <c r="N35" i="28"/>
  <c r="N36" i="28"/>
  <c r="N37" i="28"/>
  <c r="N38" i="28"/>
  <c r="N39" i="28"/>
  <c r="N40" i="28"/>
  <c r="N33" i="28"/>
  <c r="K34" i="28"/>
  <c r="K35" i="28"/>
  <c r="K36" i="28"/>
  <c r="K37" i="28"/>
  <c r="K38" i="28"/>
  <c r="K39" i="28"/>
  <c r="K40" i="28"/>
  <c r="K33" i="28"/>
  <c r="J34" i="28"/>
  <c r="J35" i="28"/>
  <c r="J36" i="28"/>
  <c r="J37" i="28"/>
  <c r="J38" i="28"/>
  <c r="J39" i="28"/>
  <c r="J40" i="28"/>
  <c r="J33" i="28"/>
  <c r="S40" i="28"/>
  <c r="O40" i="28"/>
  <c r="S39" i="28"/>
  <c r="O39" i="28"/>
  <c r="S38" i="28"/>
  <c r="O38" i="28"/>
  <c r="S37" i="28"/>
  <c r="O37" i="28"/>
  <c r="S36" i="28"/>
  <c r="O36" i="28"/>
  <c r="S35" i="28"/>
  <c r="O35" i="28"/>
  <c r="S34" i="28"/>
  <c r="O34" i="28"/>
  <c r="S33" i="28"/>
  <c r="O33" i="28"/>
  <c r="S11" i="28"/>
  <c r="R11" i="28"/>
  <c r="S10" i="28"/>
  <c r="R10" i="28"/>
  <c r="S9" i="28"/>
  <c r="R9" i="28"/>
  <c r="S8" i="28"/>
  <c r="R8" i="28"/>
  <c r="S7" i="28"/>
  <c r="R7" i="28"/>
  <c r="S6" i="28"/>
  <c r="R6" i="28"/>
  <c r="S5" i="28"/>
  <c r="R5" i="28"/>
  <c r="S4" i="28"/>
  <c r="R4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4" i="28"/>
  <c r="N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4" i="28"/>
  <c r="C6" i="28"/>
  <c r="D6" i="28"/>
  <c r="E6" i="28"/>
  <c r="F6" i="28"/>
  <c r="G6" i="28"/>
  <c r="C7" i="28"/>
  <c r="D7" i="28"/>
  <c r="E7" i="28"/>
  <c r="F7" i="28"/>
  <c r="G7" i="28"/>
  <c r="C8" i="28"/>
  <c r="D8" i="28"/>
  <c r="E8" i="28"/>
  <c r="F8" i="28"/>
  <c r="G8" i="28"/>
  <c r="C9" i="28"/>
  <c r="D9" i="28"/>
  <c r="E9" i="28"/>
  <c r="F9" i="28"/>
  <c r="G9" i="28"/>
  <c r="C10" i="28"/>
  <c r="D10" i="28"/>
  <c r="E10" i="28"/>
  <c r="F10" i="28"/>
  <c r="G10" i="28"/>
  <c r="C11" i="28"/>
  <c r="D11" i="28"/>
  <c r="E11" i="28"/>
  <c r="F11" i="28"/>
  <c r="G11" i="28"/>
  <c r="C12" i="28"/>
  <c r="D12" i="28"/>
  <c r="E12" i="28"/>
  <c r="F12" i="28"/>
  <c r="G12" i="28"/>
  <c r="C13" i="28"/>
  <c r="D13" i="28"/>
  <c r="E13" i="28"/>
  <c r="F13" i="28"/>
  <c r="G13" i="28"/>
  <c r="C14" i="28"/>
  <c r="D14" i="28"/>
  <c r="E14" i="28"/>
  <c r="F14" i="28"/>
  <c r="G14" i="28"/>
  <c r="C15" i="28"/>
  <c r="D15" i="28"/>
  <c r="E15" i="28"/>
  <c r="F15" i="28"/>
  <c r="G15" i="28"/>
  <c r="C16" i="28"/>
  <c r="D16" i="28"/>
  <c r="E16" i="28"/>
  <c r="F16" i="28"/>
  <c r="G16" i="28"/>
  <c r="C17" i="28"/>
  <c r="D17" i="28"/>
  <c r="E17" i="28"/>
  <c r="F17" i="28"/>
  <c r="G17" i="28"/>
  <c r="C18" i="28"/>
  <c r="D18" i="28"/>
  <c r="E18" i="28"/>
  <c r="F18" i="28"/>
  <c r="G18" i="28"/>
  <c r="C19" i="28"/>
  <c r="D19" i="28"/>
  <c r="E19" i="28"/>
  <c r="F19" i="28"/>
  <c r="G19" i="28"/>
  <c r="C20" i="28"/>
  <c r="D20" i="28"/>
  <c r="E20" i="28"/>
  <c r="F20" i="28"/>
  <c r="G20" i="28"/>
  <c r="C21" i="28"/>
  <c r="D21" i="28"/>
  <c r="E21" i="28"/>
  <c r="F21" i="28"/>
  <c r="G21" i="28"/>
  <c r="C22" i="28"/>
  <c r="D22" i="28"/>
  <c r="E22" i="28"/>
  <c r="F22" i="28"/>
  <c r="G22" i="28"/>
  <c r="C23" i="28"/>
  <c r="D23" i="28"/>
  <c r="E23" i="28"/>
  <c r="F23" i="28"/>
  <c r="G23" i="28"/>
  <c r="C24" i="28"/>
  <c r="D24" i="28"/>
  <c r="E24" i="28"/>
  <c r="F24" i="28"/>
  <c r="G24" i="28"/>
  <c r="C25" i="28"/>
  <c r="D25" i="28"/>
  <c r="E25" i="28"/>
  <c r="F25" i="28"/>
  <c r="G25" i="28"/>
  <c r="C26" i="28"/>
  <c r="D26" i="28"/>
  <c r="E26" i="28"/>
  <c r="F26" i="28"/>
  <c r="G26" i="28"/>
  <c r="C27" i="28"/>
  <c r="D27" i="28"/>
  <c r="E27" i="28"/>
  <c r="F27" i="28"/>
  <c r="G27" i="28"/>
  <c r="C28" i="28"/>
  <c r="D28" i="28"/>
  <c r="E28" i="28"/>
  <c r="F28" i="28"/>
  <c r="G28" i="28"/>
  <c r="C29" i="28"/>
  <c r="D29" i="28"/>
  <c r="E29" i="28"/>
  <c r="F29" i="28"/>
  <c r="G29" i="28"/>
  <c r="D5" i="28"/>
  <c r="E5" i="28"/>
  <c r="F5" i="28"/>
  <c r="G5" i="28"/>
  <c r="C5" i="28"/>
  <c r="P4" i="30"/>
  <c r="Q4" i="30"/>
  <c r="B26" i="30"/>
  <c r="C26" i="30"/>
  <c r="D26" i="30"/>
  <c r="E26" i="30"/>
  <c r="F26" i="30"/>
  <c r="G26" i="30"/>
  <c r="H26" i="30"/>
  <c r="B27" i="30"/>
  <c r="C27" i="30"/>
  <c r="D27" i="30"/>
  <c r="E27" i="30"/>
  <c r="F27" i="30"/>
  <c r="G27" i="30"/>
  <c r="H27" i="30"/>
  <c r="B28" i="30"/>
  <c r="C28" i="30"/>
  <c r="D28" i="30"/>
  <c r="E28" i="30"/>
  <c r="F28" i="30"/>
  <c r="G28" i="30"/>
  <c r="H28" i="30"/>
  <c r="B29" i="30"/>
  <c r="C29" i="30"/>
  <c r="D29" i="30"/>
  <c r="E29" i="30"/>
  <c r="F29" i="30"/>
  <c r="G29" i="30"/>
  <c r="H29" i="30"/>
  <c r="B30" i="30"/>
  <c r="C30" i="30"/>
  <c r="D30" i="30"/>
  <c r="E30" i="30"/>
  <c r="F30" i="30"/>
  <c r="G30" i="30"/>
  <c r="H30" i="30"/>
  <c r="B31" i="30"/>
  <c r="C31" i="30"/>
  <c r="D31" i="30"/>
  <c r="E31" i="30"/>
  <c r="F31" i="30"/>
  <c r="G31" i="30"/>
  <c r="H31" i="30"/>
  <c r="B32" i="30"/>
  <c r="C32" i="30"/>
  <c r="D32" i="30"/>
  <c r="E32" i="30"/>
  <c r="F32" i="30"/>
  <c r="G32" i="30"/>
  <c r="H32" i="30"/>
  <c r="B33" i="30"/>
  <c r="C33" i="30"/>
  <c r="D33" i="30"/>
  <c r="E33" i="30"/>
  <c r="F33" i="30"/>
  <c r="G33" i="30"/>
  <c r="H33" i="30"/>
  <c r="B34" i="30"/>
  <c r="C34" i="30"/>
  <c r="D34" i="30"/>
  <c r="E34" i="30"/>
  <c r="F34" i="30"/>
  <c r="G34" i="30"/>
  <c r="H34" i="30"/>
  <c r="B11" i="30"/>
  <c r="C11" i="30"/>
  <c r="D11" i="30"/>
  <c r="E11" i="30"/>
  <c r="F11" i="30"/>
  <c r="G11" i="30"/>
  <c r="H11" i="30"/>
  <c r="B12" i="30"/>
  <c r="C12" i="30"/>
  <c r="D12" i="30"/>
  <c r="E12" i="30"/>
  <c r="F12" i="30"/>
  <c r="G12" i="30"/>
  <c r="H12" i="30"/>
  <c r="B13" i="30"/>
  <c r="C13" i="30"/>
  <c r="D13" i="30"/>
  <c r="E13" i="30"/>
  <c r="F13" i="30"/>
  <c r="G13" i="30"/>
  <c r="H13" i="30"/>
  <c r="B14" i="30"/>
  <c r="C14" i="30"/>
  <c r="D14" i="30"/>
  <c r="E14" i="30"/>
  <c r="F14" i="30"/>
  <c r="G14" i="30"/>
  <c r="H14" i="30"/>
  <c r="B15" i="30"/>
  <c r="C15" i="30"/>
  <c r="D15" i="30"/>
  <c r="E15" i="30"/>
  <c r="F15" i="30"/>
  <c r="G15" i="30"/>
  <c r="H15" i="30"/>
  <c r="B16" i="30"/>
  <c r="C16" i="30"/>
  <c r="D16" i="30"/>
  <c r="E16" i="30"/>
  <c r="F16" i="30"/>
  <c r="G16" i="30"/>
  <c r="H16" i="30"/>
  <c r="B17" i="30"/>
  <c r="C17" i="30"/>
  <c r="D17" i="30"/>
  <c r="E17" i="30"/>
  <c r="F17" i="30"/>
  <c r="G17" i="30"/>
  <c r="H17" i="30"/>
  <c r="B18" i="30"/>
  <c r="C18" i="30"/>
  <c r="D18" i="30"/>
  <c r="E18" i="30"/>
  <c r="F18" i="30"/>
  <c r="G18" i="30"/>
  <c r="H18" i="30"/>
  <c r="B19" i="30"/>
  <c r="C19" i="30"/>
  <c r="D19" i="30"/>
  <c r="E19" i="30"/>
  <c r="F19" i="30"/>
  <c r="G19" i="30"/>
  <c r="H19" i="30"/>
  <c r="B20" i="30"/>
  <c r="C20" i="30"/>
  <c r="D20" i="30"/>
  <c r="E20" i="30"/>
  <c r="F20" i="30"/>
  <c r="G20" i="30"/>
  <c r="H20" i="30"/>
  <c r="B21" i="30"/>
  <c r="C21" i="30"/>
  <c r="D21" i="30"/>
  <c r="E21" i="30"/>
  <c r="F21" i="30"/>
  <c r="G21" i="30"/>
  <c r="H21" i="30"/>
  <c r="B22" i="30"/>
  <c r="C22" i="30"/>
  <c r="D22" i="30"/>
  <c r="E22" i="30"/>
  <c r="F22" i="30"/>
  <c r="G22" i="30"/>
  <c r="H22" i="30"/>
  <c r="B23" i="30"/>
  <c r="C23" i="30"/>
  <c r="D23" i="30"/>
  <c r="E23" i="30"/>
  <c r="F23" i="30"/>
  <c r="G23" i="30"/>
  <c r="H23" i="30"/>
  <c r="B24" i="30"/>
  <c r="C24" i="30"/>
  <c r="D24" i="30"/>
  <c r="E24" i="30"/>
  <c r="F24" i="30"/>
  <c r="G24" i="30"/>
  <c r="H24" i="30"/>
  <c r="B25" i="30"/>
  <c r="C25" i="30"/>
  <c r="D25" i="30"/>
  <c r="E25" i="30"/>
  <c r="F25" i="30"/>
  <c r="G25" i="30"/>
  <c r="H25" i="30"/>
  <c r="C10" i="30"/>
  <c r="D10" i="30"/>
  <c r="E10" i="30"/>
  <c r="F10" i="30"/>
  <c r="G10" i="30"/>
  <c r="H10" i="30"/>
  <c r="B10" i="30"/>
  <c r="O5" i="30"/>
  <c r="P5" i="30"/>
  <c r="Q5" i="30"/>
  <c r="R5" i="30"/>
  <c r="S5" i="30"/>
  <c r="T5" i="30"/>
  <c r="U5" i="30"/>
  <c r="V5" i="30"/>
  <c r="W5" i="30"/>
  <c r="X5" i="30"/>
  <c r="O6" i="30"/>
  <c r="P6" i="30"/>
  <c r="Q6" i="30"/>
  <c r="R6" i="30"/>
  <c r="S6" i="30"/>
  <c r="T6" i="30"/>
  <c r="U6" i="30"/>
  <c r="V6" i="30"/>
  <c r="W6" i="30"/>
  <c r="X6" i="30"/>
  <c r="O7" i="30"/>
  <c r="P7" i="30"/>
  <c r="Q7" i="30"/>
  <c r="R7" i="30"/>
  <c r="S7" i="30"/>
  <c r="T7" i="30"/>
  <c r="U7" i="30"/>
  <c r="V7" i="30"/>
  <c r="W7" i="30"/>
  <c r="X7" i="30"/>
  <c r="O8" i="30"/>
  <c r="P8" i="30"/>
  <c r="Q8" i="30"/>
  <c r="R8" i="30"/>
  <c r="S8" i="30"/>
  <c r="T8" i="30"/>
  <c r="U8" i="30"/>
  <c r="V8" i="30"/>
  <c r="W8" i="30"/>
  <c r="X8" i="30"/>
  <c r="O9" i="30"/>
  <c r="P9" i="30"/>
  <c r="Q9" i="30"/>
  <c r="R9" i="30"/>
  <c r="S9" i="30"/>
  <c r="T9" i="30"/>
  <c r="U9" i="30"/>
  <c r="V9" i="30"/>
  <c r="W9" i="30"/>
  <c r="X9" i="30"/>
  <c r="O10" i="30"/>
  <c r="P10" i="30"/>
  <c r="Q10" i="30"/>
  <c r="R10" i="30"/>
  <c r="S10" i="30"/>
  <c r="T10" i="30"/>
  <c r="U10" i="30"/>
  <c r="V10" i="30"/>
  <c r="W10" i="30"/>
  <c r="X10" i="30"/>
  <c r="O11" i="30"/>
  <c r="P11" i="30"/>
  <c r="Q11" i="30"/>
  <c r="R11" i="30"/>
  <c r="S11" i="30"/>
  <c r="T11" i="30"/>
  <c r="U11" i="30"/>
  <c r="V11" i="30"/>
  <c r="W11" i="30"/>
  <c r="X11" i="30"/>
  <c r="O12" i="30"/>
  <c r="P12" i="30"/>
  <c r="Q12" i="30"/>
  <c r="R12" i="30"/>
  <c r="S12" i="30"/>
  <c r="T12" i="30"/>
  <c r="U12" i="30"/>
  <c r="V12" i="30"/>
  <c r="W12" i="30"/>
  <c r="X12" i="30"/>
  <c r="O13" i="30"/>
  <c r="P13" i="30"/>
  <c r="Q13" i="30"/>
  <c r="R13" i="30"/>
  <c r="S13" i="30"/>
  <c r="T13" i="30"/>
  <c r="U13" i="30"/>
  <c r="V13" i="30"/>
  <c r="W13" i="30"/>
  <c r="X13" i="30"/>
  <c r="O14" i="30"/>
  <c r="P14" i="30"/>
  <c r="Q14" i="30"/>
  <c r="R14" i="30"/>
  <c r="S14" i="30"/>
  <c r="T14" i="30"/>
  <c r="U14" i="30"/>
  <c r="V14" i="30"/>
  <c r="W14" i="30"/>
  <c r="X14" i="30"/>
  <c r="O15" i="30"/>
  <c r="P15" i="30"/>
  <c r="Q15" i="30"/>
  <c r="R15" i="30"/>
  <c r="S15" i="30"/>
  <c r="T15" i="30"/>
  <c r="U15" i="30"/>
  <c r="V15" i="30"/>
  <c r="W15" i="30"/>
  <c r="X15" i="30"/>
  <c r="O16" i="30"/>
  <c r="P16" i="30"/>
  <c r="Q16" i="30"/>
  <c r="R16" i="30"/>
  <c r="S16" i="30"/>
  <c r="T16" i="30"/>
  <c r="U16" i="30"/>
  <c r="V16" i="30"/>
  <c r="W16" i="30"/>
  <c r="X16" i="30"/>
  <c r="O17" i="30"/>
  <c r="P17" i="30"/>
  <c r="Q17" i="30"/>
  <c r="R17" i="30"/>
  <c r="S17" i="30"/>
  <c r="T17" i="30"/>
  <c r="U17" i="30"/>
  <c r="V17" i="30"/>
  <c r="W17" i="30"/>
  <c r="X17" i="30"/>
  <c r="O18" i="30"/>
  <c r="P18" i="30"/>
  <c r="Q18" i="30"/>
  <c r="R18" i="30"/>
  <c r="S18" i="30"/>
  <c r="T18" i="30"/>
  <c r="U18" i="30"/>
  <c r="V18" i="30"/>
  <c r="W18" i="30"/>
  <c r="X18" i="30"/>
  <c r="O19" i="30"/>
  <c r="P19" i="30"/>
  <c r="Q19" i="30"/>
  <c r="R19" i="30"/>
  <c r="S19" i="30"/>
  <c r="T19" i="30"/>
  <c r="U19" i="30"/>
  <c r="V19" i="30"/>
  <c r="W19" i="30"/>
  <c r="X19" i="30"/>
  <c r="O20" i="30"/>
  <c r="P20" i="30"/>
  <c r="Q20" i="30"/>
  <c r="R20" i="30"/>
  <c r="S20" i="30"/>
  <c r="T20" i="30"/>
  <c r="U20" i="30"/>
  <c r="V20" i="30"/>
  <c r="W20" i="30"/>
  <c r="X20" i="30"/>
  <c r="O21" i="30"/>
  <c r="P21" i="30"/>
  <c r="Q21" i="30"/>
  <c r="R21" i="30"/>
  <c r="S21" i="30"/>
  <c r="T21" i="30"/>
  <c r="U21" i="30"/>
  <c r="V21" i="30"/>
  <c r="W21" i="30"/>
  <c r="X21" i="30"/>
  <c r="O22" i="30"/>
  <c r="P22" i="30"/>
  <c r="Q22" i="30"/>
  <c r="R22" i="30"/>
  <c r="S22" i="30"/>
  <c r="T22" i="30"/>
  <c r="U22" i="30"/>
  <c r="V22" i="30"/>
  <c r="W22" i="30"/>
  <c r="X22" i="30"/>
  <c r="O23" i="30"/>
  <c r="P23" i="30"/>
  <c r="Q23" i="30"/>
  <c r="R23" i="30"/>
  <c r="S23" i="30"/>
  <c r="T23" i="30"/>
  <c r="U23" i="30"/>
  <c r="V23" i="30"/>
  <c r="W23" i="30"/>
  <c r="X23" i="30"/>
  <c r="O24" i="30"/>
  <c r="P24" i="30"/>
  <c r="Q24" i="30"/>
  <c r="R24" i="30"/>
  <c r="S24" i="30"/>
  <c r="T24" i="30"/>
  <c r="U24" i="30"/>
  <c r="V24" i="30"/>
  <c r="W24" i="30"/>
  <c r="X24" i="30"/>
  <c r="O25" i="30"/>
  <c r="P25" i="30"/>
  <c r="Q25" i="30"/>
  <c r="R25" i="30"/>
  <c r="S25" i="30"/>
  <c r="T25" i="30"/>
  <c r="U25" i="30"/>
  <c r="V25" i="30"/>
  <c r="W25" i="30"/>
  <c r="X25" i="30"/>
  <c r="O26" i="30"/>
  <c r="P26" i="30"/>
  <c r="Q26" i="30"/>
  <c r="R26" i="30"/>
  <c r="S26" i="30"/>
  <c r="T26" i="30"/>
  <c r="U26" i="30"/>
  <c r="V26" i="30"/>
  <c r="W26" i="30"/>
  <c r="X26" i="30"/>
  <c r="O27" i="30"/>
  <c r="P27" i="30"/>
  <c r="Q27" i="30"/>
  <c r="R27" i="30"/>
  <c r="S27" i="30"/>
  <c r="T27" i="30"/>
  <c r="U27" i="30"/>
  <c r="V27" i="30"/>
  <c r="W27" i="30"/>
  <c r="X27" i="30"/>
  <c r="O28" i="30"/>
  <c r="P28" i="30"/>
  <c r="Q28" i="30"/>
  <c r="R28" i="30"/>
  <c r="S28" i="30"/>
  <c r="T28" i="30"/>
  <c r="U28" i="30"/>
  <c r="V28" i="30"/>
  <c r="W28" i="30"/>
  <c r="X28" i="30"/>
  <c r="R4" i="30"/>
  <c r="S4" i="30"/>
  <c r="T4" i="30"/>
  <c r="U4" i="30"/>
  <c r="V4" i="30"/>
  <c r="W4" i="30"/>
  <c r="X4" i="30"/>
  <c r="O4" i="30"/>
  <c r="C4" i="30"/>
  <c r="C3" i="30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D5" i="27"/>
  <c r="E5" i="27"/>
  <c r="F5" i="27"/>
  <c r="G5" i="27"/>
  <c r="C5" i="27"/>
  <c r="L4" i="30" l="1"/>
  <c r="M62" i="26"/>
  <c r="I62" i="26"/>
  <c r="E62" i="26"/>
  <c r="A62" i="26"/>
  <c r="M50" i="26"/>
  <c r="I50" i="26"/>
  <c r="E50" i="26"/>
  <c r="A50" i="26"/>
  <c r="M38" i="26"/>
  <c r="I38" i="26"/>
  <c r="E38" i="26"/>
  <c r="A38" i="26"/>
  <c r="M26" i="26"/>
  <c r="I26" i="26"/>
  <c r="E26" i="26"/>
  <c r="A26" i="26"/>
  <c r="M14" i="26"/>
  <c r="I14" i="26"/>
  <c r="E14" i="26"/>
  <c r="A14" i="26"/>
  <c r="M2" i="26"/>
  <c r="I2" i="26"/>
  <c r="E2" i="26"/>
  <c r="A2" i="26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D5" i="25"/>
  <c r="E5" i="25"/>
  <c r="F5" i="25"/>
  <c r="G5" i="25"/>
  <c r="C5" i="25"/>
  <c r="E4" i="24" l="1"/>
  <c r="F4" i="24"/>
  <c r="G4" i="24"/>
  <c r="E5" i="24"/>
  <c r="F5" i="24"/>
  <c r="G5" i="24"/>
  <c r="E6" i="24"/>
  <c r="F6" i="24"/>
  <c r="G6" i="24"/>
  <c r="E7" i="24"/>
  <c r="F7" i="24"/>
  <c r="G7" i="24"/>
  <c r="E8" i="24"/>
  <c r="F8" i="24"/>
  <c r="G8" i="24"/>
  <c r="E9" i="24"/>
  <c r="F9" i="24"/>
  <c r="G9" i="24"/>
  <c r="E10" i="24"/>
  <c r="F10" i="24"/>
  <c r="G10" i="24"/>
  <c r="E11" i="24"/>
  <c r="F11" i="24"/>
  <c r="G11" i="24"/>
  <c r="E12" i="24"/>
  <c r="F12" i="24"/>
  <c r="G12" i="24"/>
  <c r="E13" i="24"/>
  <c r="F13" i="24"/>
  <c r="G13" i="24"/>
  <c r="E14" i="24"/>
  <c r="F14" i="24"/>
  <c r="G14" i="24"/>
  <c r="E15" i="24"/>
  <c r="F15" i="24"/>
  <c r="G15" i="24"/>
  <c r="E16" i="24"/>
  <c r="F16" i="24"/>
  <c r="G16" i="24"/>
  <c r="E17" i="24"/>
  <c r="F17" i="24"/>
  <c r="G17" i="24"/>
  <c r="E18" i="24"/>
  <c r="F18" i="24"/>
  <c r="G18" i="24"/>
  <c r="E19" i="24"/>
  <c r="F19" i="24"/>
  <c r="G19" i="24"/>
  <c r="E20" i="24"/>
  <c r="F20" i="24"/>
  <c r="G20" i="24"/>
  <c r="E21" i="24"/>
  <c r="F21" i="24"/>
  <c r="G21" i="24"/>
  <c r="E22" i="24"/>
  <c r="F22" i="24"/>
  <c r="G22" i="24"/>
  <c r="E23" i="24"/>
  <c r="F23" i="24"/>
  <c r="G23" i="24"/>
  <c r="E24" i="24"/>
  <c r="F24" i="24"/>
  <c r="G24" i="24"/>
  <c r="E25" i="24"/>
  <c r="F25" i="24"/>
  <c r="G25" i="24"/>
  <c r="E26" i="24"/>
  <c r="F26" i="24"/>
  <c r="G26" i="24"/>
  <c r="E27" i="24"/>
  <c r="F27" i="24"/>
  <c r="G27" i="24"/>
  <c r="F3" i="24"/>
  <c r="G3" i="24"/>
  <c r="E3" i="24"/>
  <c r="B4" i="24"/>
  <c r="C4" i="24"/>
  <c r="D4" i="24"/>
  <c r="B5" i="24"/>
  <c r="C5" i="24"/>
  <c r="D5" i="24"/>
  <c r="B6" i="24"/>
  <c r="C6" i="24"/>
  <c r="D6" i="24"/>
  <c r="B7" i="24"/>
  <c r="C7" i="24"/>
  <c r="D7" i="24"/>
  <c r="B8" i="24"/>
  <c r="C8" i="24"/>
  <c r="D8" i="24"/>
  <c r="B9" i="24"/>
  <c r="C9" i="24"/>
  <c r="D9" i="24"/>
  <c r="B10" i="24"/>
  <c r="C10" i="24"/>
  <c r="D10" i="24"/>
  <c r="B11" i="24"/>
  <c r="C11" i="24"/>
  <c r="D11" i="24"/>
  <c r="B12" i="24"/>
  <c r="C12" i="24"/>
  <c r="D12" i="24"/>
  <c r="B13" i="24"/>
  <c r="C13" i="24"/>
  <c r="D13" i="24"/>
  <c r="B14" i="24"/>
  <c r="C14" i="24"/>
  <c r="D14" i="24"/>
  <c r="B15" i="24"/>
  <c r="C15" i="24"/>
  <c r="D15" i="24"/>
  <c r="B16" i="24"/>
  <c r="C16" i="24"/>
  <c r="D16" i="24"/>
  <c r="B17" i="24"/>
  <c r="C17" i="24"/>
  <c r="D17" i="24"/>
  <c r="B18" i="24"/>
  <c r="C18" i="24"/>
  <c r="D18" i="24"/>
  <c r="B19" i="24"/>
  <c r="C19" i="24"/>
  <c r="D19" i="24"/>
  <c r="B20" i="24"/>
  <c r="C20" i="24"/>
  <c r="D20" i="24"/>
  <c r="B21" i="24"/>
  <c r="C21" i="24"/>
  <c r="D21" i="24"/>
  <c r="B22" i="24"/>
  <c r="C22" i="24"/>
  <c r="D22" i="24"/>
  <c r="B23" i="24"/>
  <c r="C23" i="24"/>
  <c r="D23" i="24"/>
  <c r="B24" i="24"/>
  <c r="C24" i="24"/>
  <c r="D24" i="24"/>
  <c r="B25" i="24"/>
  <c r="C25" i="24"/>
  <c r="D25" i="24"/>
  <c r="B26" i="24"/>
  <c r="C26" i="24"/>
  <c r="D26" i="24"/>
  <c r="B27" i="24"/>
  <c r="C27" i="24"/>
  <c r="D27" i="24"/>
  <c r="C3" i="24"/>
  <c r="D3" i="24"/>
  <c r="B3" i="24"/>
  <c r="B4" i="23"/>
  <c r="C4" i="23"/>
  <c r="D4" i="23"/>
  <c r="E4" i="23"/>
  <c r="B5" i="23"/>
  <c r="C5" i="23"/>
  <c r="D5" i="23"/>
  <c r="E5" i="23"/>
  <c r="B6" i="23"/>
  <c r="C6" i="23"/>
  <c r="D6" i="23"/>
  <c r="E6" i="23"/>
  <c r="B7" i="23"/>
  <c r="C7" i="23"/>
  <c r="D7" i="23"/>
  <c r="E7" i="23"/>
  <c r="B8" i="23"/>
  <c r="C8" i="23"/>
  <c r="D8" i="23"/>
  <c r="E8" i="23"/>
  <c r="B9" i="23"/>
  <c r="C9" i="23"/>
  <c r="D9" i="23"/>
  <c r="E9" i="23"/>
  <c r="B10" i="23"/>
  <c r="C10" i="23"/>
  <c r="D10" i="23"/>
  <c r="E10" i="23"/>
  <c r="B11" i="23"/>
  <c r="C11" i="23"/>
  <c r="D11" i="23"/>
  <c r="E11" i="23"/>
  <c r="B12" i="23"/>
  <c r="C12" i="23"/>
  <c r="D12" i="23"/>
  <c r="E12" i="23"/>
  <c r="B13" i="23"/>
  <c r="C13" i="23"/>
  <c r="D13" i="23"/>
  <c r="E13" i="23"/>
  <c r="B14" i="23"/>
  <c r="C14" i="23"/>
  <c r="D14" i="23"/>
  <c r="E14" i="23"/>
  <c r="B15" i="23"/>
  <c r="C15" i="23"/>
  <c r="D15" i="23"/>
  <c r="E15" i="23"/>
  <c r="B16" i="23"/>
  <c r="C16" i="23"/>
  <c r="D16" i="23"/>
  <c r="E16" i="23"/>
  <c r="B17" i="23"/>
  <c r="C17" i="23"/>
  <c r="D17" i="23"/>
  <c r="E17" i="23"/>
  <c r="B18" i="23"/>
  <c r="C18" i="23"/>
  <c r="D18" i="23"/>
  <c r="E18" i="23"/>
  <c r="B19" i="23"/>
  <c r="C19" i="23"/>
  <c r="D19" i="23"/>
  <c r="E19" i="23"/>
  <c r="B20" i="23"/>
  <c r="C20" i="23"/>
  <c r="D20" i="23"/>
  <c r="E20" i="23"/>
  <c r="B21" i="23"/>
  <c r="C21" i="23"/>
  <c r="D21" i="23"/>
  <c r="E21" i="23"/>
  <c r="B22" i="23"/>
  <c r="C22" i="23"/>
  <c r="D22" i="23"/>
  <c r="E22" i="23"/>
  <c r="B23" i="23"/>
  <c r="C23" i="23"/>
  <c r="D23" i="23"/>
  <c r="E23" i="23"/>
  <c r="B24" i="23"/>
  <c r="C24" i="23"/>
  <c r="D24" i="23"/>
  <c r="E24" i="23"/>
  <c r="B25" i="23"/>
  <c r="C25" i="23"/>
  <c r="D25" i="23"/>
  <c r="E25" i="23"/>
  <c r="B26" i="23"/>
  <c r="C26" i="23"/>
  <c r="D26" i="23"/>
  <c r="E26" i="23"/>
  <c r="B27" i="23"/>
  <c r="C27" i="23"/>
  <c r="D27" i="23"/>
  <c r="E27" i="23"/>
  <c r="C3" i="23"/>
  <c r="D3" i="23"/>
  <c r="E3" i="23"/>
  <c r="B3" i="23"/>
  <c r="C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3" i="22"/>
  <c r="D3" i="22"/>
  <c r="E3" i="22"/>
  <c r="F3" i="22"/>
  <c r="G3" i="22"/>
  <c r="H3" i="22"/>
  <c r="I3" i="22"/>
  <c r="J3" i="22"/>
  <c r="K3" i="22"/>
  <c r="L3" i="22"/>
  <c r="D4" i="22"/>
  <c r="E4" i="22"/>
  <c r="F4" i="22"/>
  <c r="G4" i="22"/>
  <c r="H4" i="22"/>
  <c r="I4" i="22"/>
  <c r="J4" i="22"/>
  <c r="K4" i="22"/>
  <c r="L4" i="22"/>
  <c r="D5" i="22"/>
  <c r="E5" i="22"/>
  <c r="F5" i="22"/>
  <c r="G5" i="22"/>
  <c r="H5" i="22"/>
  <c r="I5" i="22"/>
  <c r="J5" i="22"/>
  <c r="K5" i="22"/>
  <c r="L5" i="22"/>
  <c r="D6" i="22"/>
  <c r="E6" i="22"/>
  <c r="F6" i="22"/>
  <c r="G6" i="22"/>
  <c r="H6" i="22"/>
  <c r="I6" i="22"/>
  <c r="J6" i="22"/>
  <c r="K6" i="22"/>
  <c r="L6" i="22"/>
  <c r="D7" i="22"/>
  <c r="E7" i="22"/>
  <c r="F7" i="22"/>
  <c r="G7" i="22"/>
  <c r="H7" i="22"/>
  <c r="I7" i="22"/>
  <c r="J7" i="22"/>
  <c r="K7" i="22"/>
  <c r="L7" i="22"/>
  <c r="D8" i="22"/>
  <c r="E8" i="22"/>
  <c r="F8" i="22"/>
  <c r="G8" i="22"/>
  <c r="H8" i="22"/>
  <c r="I8" i="22"/>
  <c r="J8" i="22"/>
  <c r="K8" i="22"/>
  <c r="L8" i="22"/>
  <c r="D9" i="22"/>
  <c r="E9" i="22"/>
  <c r="F9" i="22"/>
  <c r="G9" i="22"/>
  <c r="H9" i="22"/>
  <c r="I9" i="22"/>
  <c r="J9" i="22"/>
  <c r="K9" i="22"/>
  <c r="L9" i="22"/>
  <c r="D10" i="22"/>
  <c r="E10" i="22"/>
  <c r="F10" i="22"/>
  <c r="G10" i="22"/>
  <c r="H10" i="22"/>
  <c r="I10" i="22"/>
  <c r="J10" i="22"/>
  <c r="K10" i="22"/>
  <c r="L10" i="22"/>
  <c r="D11" i="22"/>
  <c r="E11" i="22"/>
  <c r="F11" i="22"/>
  <c r="G11" i="22"/>
  <c r="H11" i="22"/>
  <c r="I11" i="22"/>
  <c r="J11" i="22"/>
  <c r="K11" i="22"/>
  <c r="L11" i="22"/>
  <c r="D12" i="22"/>
  <c r="E12" i="22"/>
  <c r="F12" i="22"/>
  <c r="G12" i="22"/>
  <c r="H12" i="22"/>
  <c r="I12" i="22"/>
  <c r="J12" i="22"/>
  <c r="K12" i="22"/>
  <c r="L12" i="22"/>
  <c r="D13" i="22"/>
  <c r="E13" i="22"/>
  <c r="F13" i="22"/>
  <c r="G13" i="22"/>
  <c r="H13" i="22"/>
  <c r="I13" i="22"/>
  <c r="J13" i="22"/>
  <c r="K13" i="22"/>
  <c r="L13" i="22"/>
  <c r="D14" i="22"/>
  <c r="E14" i="22"/>
  <c r="F14" i="22"/>
  <c r="G14" i="22"/>
  <c r="H14" i="22"/>
  <c r="I14" i="22"/>
  <c r="J14" i="22"/>
  <c r="K14" i="22"/>
  <c r="L14" i="22"/>
  <c r="D15" i="22"/>
  <c r="E15" i="22"/>
  <c r="F15" i="22"/>
  <c r="G15" i="22"/>
  <c r="H15" i="22"/>
  <c r="I15" i="22"/>
  <c r="J15" i="22"/>
  <c r="K15" i="22"/>
  <c r="L15" i="22"/>
  <c r="D16" i="22"/>
  <c r="E16" i="22"/>
  <c r="F16" i="22"/>
  <c r="G16" i="22"/>
  <c r="H16" i="22"/>
  <c r="I16" i="22"/>
  <c r="J16" i="22"/>
  <c r="K16" i="22"/>
  <c r="L16" i="22"/>
  <c r="D17" i="22"/>
  <c r="E17" i="22"/>
  <c r="F17" i="22"/>
  <c r="G17" i="22"/>
  <c r="H17" i="22"/>
  <c r="I17" i="22"/>
  <c r="J17" i="22"/>
  <c r="K17" i="22"/>
  <c r="L17" i="22"/>
  <c r="D18" i="22"/>
  <c r="E18" i="22"/>
  <c r="F18" i="22"/>
  <c r="G18" i="22"/>
  <c r="H18" i="22"/>
  <c r="I18" i="22"/>
  <c r="J18" i="22"/>
  <c r="K18" i="22"/>
  <c r="L18" i="22"/>
  <c r="D19" i="22"/>
  <c r="E19" i="22"/>
  <c r="F19" i="22"/>
  <c r="G19" i="22"/>
  <c r="H19" i="22"/>
  <c r="I19" i="22"/>
  <c r="J19" i="22"/>
  <c r="K19" i="22"/>
  <c r="L19" i="22"/>
  <c r="D20" i="22"/>
  <c r="E20" i="22"/>
  <c r="F20" i="22"/>
  <c r="G20" i="22"/>
  <c r="H20" i="22"/>
  <c r="I20" i="22"/>
  <c r="J20" i="22"/>
  <c r="K20" i="22"/>
  <c r="L20" i="22"/>
  <c r="D21" i="22"/>
  <c r="E21" i="22"/>
  <c r="F21" i="22"/>
  <c r="G21" i="22"/>
  <c r="H21" i="22"/>
  <c r="I21" i="22"/>
  <c r="J21" i="22"/>
  <c r="K21" i="22"/>
  <c r="L21" i="22"/>
  <c r="D22" i="22"/>
  <c r="E22" i="22"/>
  <c r="F22" i="22"/>
  <c r="G22" i="22"/>
  <c r="H22" i="22"/>
  <c r="I22" i="22"/>
  <c r="J22" i="22"/>
  <c r="K22" i="22"/>
  <c r="L22" i="22"/>
  <c r="D23" i="22"/>
  <c r="E23" i="22"/>
  <c r="F23" i="22"/>
  <c r="G23" i="22"/>
  <c r="H23" i="22"/>
  <c r="I23" i="22"/>
  <c r="J23" i="22"/>
  <c r="K23" i="22"/>
  <c r="L23" i="22"/>
  <c r="D24" i="22"/>
  <c r="E24" i="22"/>
  <c r="F24" i="22"/>
  <c r="G24" i="22"/>
  <c r="H24" i="22"/>
  <c r="I24" i="22"/>
  <c r="J24" i="22"/>
  <c r="K24" i="22"/>
  <c r="L24" i="22"/>
  <c r="D25" i="22"/>
  <c r="E25" i="22"/>
  <c r="F25" i="22"/>
  <c r="G25" i="22"/>
  <c r="H25" i="22"/>
  <c r="I25" i="22"/>
  <c r="J25" i="22"/>
  <c r="K25" i="22"/>
  <c r="L25" i="22"/>
  <c r="D26" i="22"/>
  <c r="E26" i="22"/>
  <c r="F26" i="22"/>
  <c r="G26" i="22"/>
  <c r="H26" i="22"/>
  <c r="I26" i="22"/>
  <c r="J26" i="22"/>
  <c r="K26" i="22"/>
  <c r="L26" i="22"/>
  <c r="D27" i="22"/>
  <c r="E27" i="22"/>
  <c r="F27" i="22"/>
  <c r="G27" i="22"/>
  <c r="H27" i="22"/>
  <c r="I27" i="22"/>
  <c r="J27" i="22"/>
  <c r="K27" i="22"/>
  <c r="L27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D3" i="21" l="1"/>
  <c r="C9" i="21"/>
  <c r="D4" i="21"/>
  <c r="D5" i="21"/>
  <c r="D6" i="21"/>
  <c r="D7" i="21"/>
  <c r="D8" i="21"/>
  <c r="E39" i="20"/>
  <c r="F39" i="20" s="1"/>
  <c r="H39" i="20" s="1"/>
  <c r="D39" i="20"/>
  <c r="D40" i="20"/>
  <c r="E40" i="20" s="1"/>
  <c r="F40" i="20" s="1"/>
  <c r="H40" i="20" s="1"/>
  <c r="D41" i="20"/>
  <c r="E41" i="20" s="1"/>
  <c r="F41" i="20" s="1"/>
  <c r="H41" i="20" s="1"/>
  <c r="D42" i="20"/>
  <c r="E42" i="20" s="1"/>
  <c r="F42" i="20" s="1"/>
  <c r="H42" i="20" s="1"/>
  <c r="D43" i="20"/>
  <c r="E43" i="20" s="1"/>
  <c r="F43" i="20" s="1"/>
  <c r="H43" i="20" s="1"/>
  <c r="D44" i="20"/>
  <c r="E44" i="20" s="1"/>
  <c r="F44" i="20" s="1"/>
  <c r="H44" i="20" s="1"/>
  <c r="D45" i="20"/>
  <c r="E45" i="20" s="1"/>
  <c r="F45" i="20" s="1"/>
  <c r="H45" i="20" s="1"/>
  <c r="D46" i="20"/>
  <c r="E46" i="20" s="1"/>
  <c r="F46" i="20" s="1"/>
  <c r="H46" i="20" s="1"/>
  <c r="D47" i="20"/>
  <c r="E47" i="20" s="1"/>
  <c r="F47" i="20" s="1"/>
  <c r="H47" i="20" s="1"/>
  <c r="D12" i="20"/>
  <c r="E11" i="20"/>
  <c r="F11" i="20"/>
  <c r="E10" i="20"/>
  <c r="F10" i="20"/>
  <c r="E9" i="20"/>
  <c r="F9" i="20"/>
  <c r="E8" i="20"/>
  <c r="F8" i="20"/>
  <c r="F7" i="20"/>
  <c r="E7" i="20"/>
  <c r="F6" i="20"/>
  <c r="E6" i="20"/>
  <c r="F5" i="20"/>
  <c r="E5" i="20"/>
  <c r="F4" i="20"/>
  <c r="E4" i="20"/>
  <c r="F3" i="20"/>
  <c r="E3" i="20"/>
  <c r="F8" i="19"/>
  <c r="H51" i="20" l="1"/>
  <c r="E12" i="20"/>
  <c r="E18" i="20" s="1"/>
  <c r="D9" i="21"/>
  <c r="D11" i="21" s="1"/>
  <c r="E3" i="21" s="1"/>
  <c r="F3" i="21" s="1"/>
  <c r="G3" i="21" s="1"/>
  <c r="F12" i="20"/>
  <c r="E9" i="18"/>
  <c r="E4" i="18"/>
  <c r="E8" i="21" l="1"/>
  <c r="F8" i="21" s="1"/>
  <c r="G8" i="21" s="1"/>
  <c r="E5" i="21"/>
  <c r="F5" i="21" s="1"/>
  <c r="G5" i="21" s="1"/>
  <c r="E4" i="21"/>
  <c r="F4" i="21" s="1"/>
  <c r="G4" i="21" s="1"/>
  <c r="E7" i="21"/>
  <c r="F7" i="21" s="1"/>
  <c r="G7" i="21" s="1"/>
  <c r="E24" i="20"/>
  <c r="E26" i="20" s="1"/>
  <c r="E6" i="21"/>
  <c r="F6" i="21" s="1"/>
  <c r="G6" i="21" s="1"/>
  <c r="G7" i="17"/>
  <c r="H4" i="17"/>
  <c r="I4" i="17"/>
  <c r="H5" i="17"/>
  <c r="I5" i="17"/>
  <c r="H6" i="17"/>
  <c r="I6" i="17"/>
  <c r="I3" i="17"/>
  <c r="H3" i="17"/>
  <c r="C7" i="17"/>
  <c r="D4" i="17"/>
  <c r="E4" i="17"/>
  <c r="D5" i="17"/>
  <c r="E5" i="17"/>
  <c r="D6" i="17"/>
  <c r="E6" i="17"/>
  <c r="E3" i="17"/>
  <c r="D3" i="17"/>
  <c r="E7" i="17" l="1"/>
  <c r="D7" i="17"/>
  <c r="D9" i="17" s="1"/>
  <c r="G12" i="21"/>
  <c r="H7" i="17"/>
  <c r="H9" i="17" s="1"/>
  <c r="I7" i="17"/>
  <c r="G13" i="17"/>
  <c r="G20" i="17" s="1"/>
  <c r="D10" i="16"/>
  <c r="E10" i="16" s="1"/>
  <c r="D9" i="16"/>
  <c r="E9" i="16" s="1"/>
  <c r="D8" i="16"/>
  <c r="E8" i="16" s="1"/>
  <c r="D7" i="16"/>
  <c r="E7" i="16" s="1"/>
  <c r="D6" i="16"/>
  <c r="E6" i="16" s="1"/>
  <c r="D5" i="16"/>
  <c r="E5" i="16" s="1"/>
  <c r="D4" i="16"/>
  <c r="E4" i="16" s="1"/>
  <c r="D3" i="16"/>
  <c r="E3" i="16" s="1"/>
  <c r="G16" i="17" l="1"/>
  <c r="G23" i="17" s="1"/>
  <c r="E11" i="16"/>
  <c r="D11" i="16"/>
  <c r="D13" i="16" s="1"/>
  <c r="E4" i="15"/>
  <c r="D4" i="15"/>
  <c r="D5" i="15"/>
  <c r="E5" i="15" s="1"/>
  <c r="D6" i="15"/>
  <c r="E6" i="15" s="1"/>
  <c r="D7" i="15"/>
  <c r="E7" i="15" s="1"/>
  <c r="D8" i="15"/>
  <c r="E8" i="15" s="1"/>
  <c r="D9" i="15"/>
  <c r="E9" i="15" s="1"/>
  <c r="D10" i="15"/>
  <c r="E10" i="15" s="1"/>
  <c r="D11" i="15"/>
  <c r="E11" i="15" s="1"/>
  <c r="D3" i="15"/>
  <c r="D12" i="15" l="1"/>
  <c r="D14" i="15" s="1"/>
  <c r="E3" i="15"/>
  <c r="E12" i="15" s="1"/>
  <c r="D8" i="14"/>
  <c r="E4" i="14"/>
  <c r="F4" i="14"/>
  <c r="E5" i="14"/>
  <c r="F5" i="14"/>
  <c r="E6" i="14"/>
  <c r="F6" i="14"/>
  <c r="E7" i="14"/>
  <c r="F7" i="14"/>
  <c r="F3" i="14"/>
  <c r="F8" i="14" s="1"/>
  <c r="E3" i="14"/>
  <c r="M7" i="14"/>
  <c r="E8" i="14" l="1"/>
  <c r="E11" i="14" s="1"/>
  <c r="F14" i="14" s="1"/>
  <c r="F17" i="14" s="1"/>
  <c r="C64" i="13"/>
  <c r="C65" i="13"/>
  <c r="C66" i="13"/>
  <c r="C67" i="13"/>
  <c r="C68" i="13"/>
  <c r="C69" i="13"/>
  <c r="C70" i="13"/>
  <c r="C71" i="13"/>
  <c r="C63" i="13"/>
  <c r="B72" i="13"/>
  <c r="N43" i="13"/>
  <c r="N42" i="13"/>
  <c r="E35" i="13"/>
  <c r="E17" i="13"/>
  <c r="E16" i="13"/>
  <c r="F4" i="12"/>
  <c r="F5" i="12"/>
  <c r="F6" i="12"/>
  <c r="F3" i="12"/>
  <c r="E7" i="12"/>
  <c r="C72" i="13" l="1"/>
  <c r="C74" i="13" s="1"/>
  <c r="H67" i="13" s="1"/>
  <c r="F66" i="13"/>
  <c r="F70" i="13"/>
  <c r="D69" i="13"/>
  <c r="H68" i="13"/>
  <c r="H63" i="13"/>
  <c r="F67" i="13"/>
  <c r="D66" i="13"/>
  <c r="D70" i="13"/>
  <c r="H65" i="13"/>
  <c r="H69" i="13"/>
  <c r="F64" i="13"/>
  <c r="F68" i="13"/>
  <c r="F63" i="13"/>
  <c r="D67" i="13"/>
  <c r="D71" i="13"/>
  <c r="H66" i="13"/>
  <c r="H70" i="13"/>
  <c r="F65" i="13"/>
  <c r="F69" i="13"/>
  <c r="D64" i="13"/>
  <c r="D68" i="13"/>
  <c r="D63" i="13"/>
  <c r="F7" i="12"/>
  <c r="F8" i="12" s="1"/>
  <c r="G5" i="12" s="1"/>
  <c r="E18" i="13"/>
  <c r="F20" i="13" s="1"/>
  <c r="F32" i="13"/>
  <c r="F28" i="13"/>
  <c r="F34" i="13"/>
  <c r="F30" i="13"/>
  <c r="F33" i="13"/>
  <c r="F29" i="13"/>
  <c r="F26" i="13"/>
  <c r="F31" i="13"/>
  <c r="F27" i="13"/>
  <c r="H5" i="12"/>
  <c r="F11" i="11"/>
  <c r="F12" i="11"/>
  <c r="F13" i="11"/>
  <c r="F14" i="11"/>
  <c r="F10" i="11"/>
  <c r="E11" i="11"/>
  <c r="E12" i="11"/>
  <c r="E13" i="11"/>
  <c r="E14" i="11"/>
  <c r="E10" i="11"/>
  <c r="D15" i="11"/>
  <c r="I7" i="11"/>
  <c r="C7" i="11"/>
  <c r="C6" i="10"/>
  <c r="C7" i="10"/>
  <c r="C8" i="10"/>
  <c r="C9" i="10"/>
  <c r="C10" i="10"/>
  <c r="C11" i="10"/>
  <c r="C12" i="10"/>
  <c r="C13" i="10"/>
  <c r="C14" i="10"/>
  <c r="C5" i="10"/>
  <c r="B15" i="10"/>
  <c r="I4" i="12" l="1"/>
  <c r="F71" i="13"/>
  <c r="H64" i="13"/>
  <c r="H71" i="13"/>
  <c r="D65" i="13"/>
  <c r="E15" i="11"/>
  <c r="E16" i="11" s="1"/>
  <c r="G3" i="12"/>
  <c r="G4" i="12"/>
  <c r="I3" i="12"/>
  <c r="D72" i="13"/>
  <c r="D76" i="13" s="1"/>
  <c r="D78" i="13" s="1"/>
  <c r="J77" i="13" s="1"/>
  <c r="I6" i="12"/>
  <c r="G6" i="12"/>
  <c r="H4" i="12"/>
  <c r="F72" i="13"/>
  <c r="D83" i="13" s="1"/>
  <c r="H6" i="12"/>
  <c r="I5" i="12"/>
  <c r="H3" i="12"/>
  <c r="H72" i="13"/>
  <c r="H83" i="13" s="1"/>
  <c r="G26" i="13"/>
  <c r="G27" i="13" s="1"/>
  <c r="G28" i="13" s="1"/>
  <c r="G29" i="13" s="1"/>
  <c r="G30" i="13" s="1"/>
  <c r="G31" i="13" s="1"/>
  <c r="G32" i="13" s="1"/>
  <c r="G33" i="13" s="1"/>
  <c r="G34" i="13" s="1"/>
  <c r="F35" i="13"/>
  <c r="F15" i="11"/>
  <c r="F18" i="11" s="1"/>
  <c r="E20" i="11" s="1"/>
  <c r="D22" i="11" s="1"/>
  <c r="C16" i="10"/>
  <c r="F20" i="10" s="1"/>
  <c r="B8" i="9"/>
  <c r="C3" i="9"/>
  <c r="C4" i="9"/>
  <c r="C5" i="9"/>
  <c r="C6" i="9"/>
  <c r="C7" i="9"/>
  <c r="C2" i="9"/>
  <c r="G7" i="12" l="1"/>
  <c r="G10" i="12" s="1"/>
  <c r="G11" i="12" s="1"/>
  <c r="H7" i="12"/>
  <c r="H13" i="12" s="1"/>
  <c r="I7" i="12"/>
  <c r="I14" i="12" s="1"/>
  <c r="H18" i="12" s="1"/>
  <c r="C8" i="9"/>
  <c r="B9" i="9" s="1"/>
  <c r="D2" i="9" s="1"/>
  <c r="D86" i="13"/>
  <c r="E15" i="12"/>
  <c r="H86" i="13"/>
  <c r="B15" i="8"/>
  <c r="C6" i="8" s="1"/>
  <c r="B15" i="7"/>
  <c r="C9" i="7" s="1"/>
  <c r="I2" i="6"/>
  <c r="I3" i="6" s="1"/>
  <c r="I4" i="6" s="1"/>
  <c r="I5" i="6" s="1"/>
  <c r="I6" i="6" s="1"/>
  <c r="F7" i="6"/>
  <c r="H3" i="6"/>
  <c r="H4" i="6"/>
  <c r="H5" i="6"/>
  <c r="H6" i="6"/>
  <c r="H2" i="6"/>
  <c r="B7" i="6"/>
  <c r="D6" i="9" l="1"/>
  <c r="D5" i="9"/>
  <c r="D4" i="9"/>
  <c r="D7" i="9"/>
  <c r="E7" i="9" s="1"/>
  <c r="D3" i="9"/>
  <c r="E5" i="9"/>
  <c r="F5" i="9"/>
  <c r="G5" i="9" s="1"/>
  <c r="F3" i="9"/>
  <c r="G3" i="9" s="1"/>
  <c r="E3" i="9"/>
  <c r="F2" i="9"/>
  <c r="G2" i="9" s="1"/>
  <c r="E2" i="9"/>
  <c r="E6" i="9"/>
  <c r="F6" i="9"/>
  <c r="G6" i="9" s="1"/>
  <c r="F4" i="9"/>
  <c r="G4" i="9" s="1"/>
  <c r="E4" i="9"/>
  <c r="C12" i="8"/>
  <c r="C8" i="8"/>
  <c r="C12" i="7"/>
  <c r="C8" i="7"/>
  <c r="C5" i="7"/>
  <c r="C13" i="8"/>
  <c r="C9" i="8"/>
  <c r="H7" i="6"/>
  <c r="H11" i="6" s="1"/>
  <c r="C14" i="7"/>
  <c r="C10" i="7"/>
  <c r="C6" i="7"/>
  <c r="C5" i="8"/>
  <c r="C11" i="8"/>
  <c r="C7" i="8"/>
  <c r="C11" i="7"/>
  <c r="C7" i="7"/>
  <c r="C13" i="7"/>
  <c r="C14" i="8"/>
  <c r="C10" i="8"/>
  <c r="H7" i="5"/>
  <c r="H6" i="5"/>
  <c r="H2" i="5"/>
  <c r="C4" i="5"/>
  <c r="D4" i="5"/>
  <c r="E4" i="5"/>
  <c r="F4" i="5"/>
  <c r="B4" i="5"/>
  <c r="AB1" i="4"/>
  <c r="AB16" i="4"/>
  <c r="AB12" i="4"/>
  <c r="AB7" i="4"/>
  <c r="Z16" i="4"/>
  <c r="Z12" i="4"/>
  <c r="Z7" i="4"/>
  <c r="Z1" i="4"/>
  <c r="AG7" i="3"/>
  <c r="F7" i="9" l="1"/>
  <c r="G7" i="9" s="1"/>
  <c r="C16" i="8"/>
  <c r="H4" i="5"/>
  <c r="G8" i="9"/>
  <c r="G9" i="9" s="1"/>
  <c r="E8" i="9"/>
  <c r="E9" i="9" s="1"/>
  <c r="C16" i="7"/>
  <c r="C25" i="2"/>
  <c r="C24" i="2"/>
  <c r="C23" i="2"/>
  <c r="C22" i="2"/>
  <c r="C21" i="2"/>
  <c r="D18" i="2"/>
  <c r="D24" i="2" s="1"/>
  <c r="C14" i="2"/>
  <c r="C15" i="2"/>
  <c r="C16" i="2"/>
  <c r="C17" i="2"/>
  <c r="C13" i="2"/>
  <c r="E17" i="2" l="1"/>
  <c r="E16" i="2"/>
  <c r="D23" i="2"/>
  <c r="D21" i="2"/>
  <c r="D22" i="2"/>
  <c r="E15" i="2"/>
  <c r="D25" i="2"/>
  <c r="E13" i="2"/>
  <c r="F13" i="2" s="1"/>
  <c r="F14" i="2" s="1"/>
  <c r="F15" i="2" s="1"/>
  <c r="F16" i="2" s="1"/>
  <c r="F17" i="2" s="1"/>
  <c r="E14" i="2"/>
  <c r="E18" i="2" l="1"/>
</calcChain>
</file>

<file path=xl/sharedStrings.xml><?xml version="1.0" encoding="utf-8"?>
<sst xmlns="http://schemas.openxmlformats.org/spreadsheetml/2006/main" count="781" uniqueCount="363">
  <si>
    <r>
      <t>x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</si>
  <si>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t>n</t>
    </r>
    <r>
      <rPr>
        <vertAlign val="subscript"/>
        <sz val="14"/>
        <color theme="1"/>
        <rFont val="Times New Roman"/>
        <family val="1"/>
        <charset val="204"/>
      </rPr>
      <t>i</t>
    </r>
  </si>
  <si>
    <t>Σ</t>
  </si>
  <si>
    <r>
      <t>x</t>
    </r>
    <r>
      <rPr>
        <vertAlign val="subscript"/>
        <sz val="14"/>
        <color rgb="FF000000"/>
        <rFont val="Times New Roman"/>
        <family val="1"/>
        <charset val="204"/>
      </rPr>
      <t>i</t>
    </r>
  </si>
  <si>
    <r>
      <t>N</t>
    </r>
    <r>
      <rPr>
        <vertAlign val="subscript"/>
        <sz val="14"/>
        <color rgb="FF000000"/>
        <rFont val="Times New Roman"/>
        <family val="1"/>
        <charset val="204"/>
      </rPr>
      <t>i</t>
    </r>
  </si>
  <si>
    <r>
      <t>W</t>
    </r>
    <r>
      <rPr>
        <vertAlign val="subscript"/>
        <sz val="14"/>
        <color rgb="FF000000"/>
        <rFont val="Times New Roman"/>
        <family val="1"/>
        <charset val="204"/>
      </rPr>
      <t>i</t>
    </r>
  </si>
  <si>
    <t>5-6</t>
  </si>
  <si>
    <t>6-7</t>
  </si>
  <si>
    <t>7-8</t>
  </si>
  <si>
    <t>8-9</t>
  </si>
  <si>
    <t>9-10</t>
  </si>
  <si>
    <t>10-11</t>
  </si>
  <si>
    <t>Интервалы</t>
  </si>
  <si>
    <r>
      <t>w</t>
    </r>
    <r>
      <rPr>
        <vertAlign val="subscript"/>
        <sz val="14"/>
        <color theme="1"/>
        <rFont val="Times New Roman"/>
        <family val="1"/>
        <charset val="204"/>
      </rPr>
      <t>i</t>
    </r>
  </si>
  <si>
    <r>
      <rPr>
        <b/>
        <sz val="14"/>
        <color theme="1"/>
        <rFont val="Calibri"/>
        <family val="2"/>
        <charset val="204"/>
      </rPr>
      <t>Σ</t>
    </r>
    <r>
      <rPr>
        <b/>
        <sz val="14"/>
        <color theme="1"/>
        <rFont val="Times New Roman"/>
        <family val="1"/>
        <charset val="204"/>
      </rPr>
      <t>=</t>
    </r>
  </si>
  <si>
    <r>
      <t>w</t>
    </r>
    <r>
      <rPr>
        <vertAlign val="subscript"/>
        <sz val="14"/>
        <color theme="1"/>
        <rFont val="Times New Roman"/>
        <family val="1"/>
        <charset val="204"/>
      </rPr>
      <t>н</t>
    </r>
  </si>
  <si>
    <r>
      <t>x</t>
    </r>
    <r>
      <rPr>
        <vertAlign val="subscript"/>
        <sz val="14"/>
        <color theme="1"/>
        <rFont val="Times New Roman"/>
        <family val="1"/>
        <charset val="204"/>
      </rPr>
      <t>прав</t>
    </r>
  </si>
  <si>
    <r>
      <t xml:space="preserve">Вес, грамм, </t>
    </r>
    <r>
      <rPr>
        <b/>
        <i/>
        <sz val="16"/>
        <color theme="1"/>
        <rFont val="Times New Roman"/>
        <family val="1"/>
        <charset val="204"/>
      </rPr>
      <t>x</t>
    </r>
  </si>
  <si>
    <r>
      <t xml:space="preserve">Количество пачек, </t>
    </r>
    <r>
      <rPr>
        <b/>
        <i/>
        <sz val="16"/>
        <color theme="1"/>
        <rFont val="Times New Roman"/>
        <family val="1"/>
        <charset val="204"/>
      </rPr>
      <t>n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</si>
  <si>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t>48-49</t>
  </si>
  <si>
    <t>49-50</t>
  </si>
  <si>
    <t>50-51</t>
  </si>
  <si>
    <t>51-52</t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</si>
  <si>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</si>
  <si>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rPr>
        <b/>
        <sz val="16"/>
        <color theme="1"/>
        <rFont val="Calibri"/>
        <family val="2"/>
        <charset val="204"/>
      </rPr>
      <t>Σ</t>
    </r>
    <r>
      <rPr>
        <b/>
        <sz val="16"/>
        <color theme="1"/>
        <rFont val="Times New Roman"/>
        <family val="1"/>
        <charset val="204"/>
      </rPr>
      <t>=</t>
    </r>
  </si>
  <si>
    <t>Xср=</t>
  </si>
  <si>
    <t>Mo=</t>
  </si>
  <si>
    <r>
      <t>n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</si>
  <si>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t>Xi *ni</t>
  </si>
  <si>
    <t>me=</t>
  </si>
  <si>
    <t>Затраты на одну деталь, мин.</t>
  </si>
  <si>
    <t>Число деталей, шт.</t>
  </si>
  <si>
    <t>до 20</t>
  </si>
  <si>
    <t>от 20 до 24</t>
  </si>
  <si>
    <t>от 24 до 28</t>
  </si>
  <si>
    <t>от 28 до 32</t>
  </si>
  <si>
    <t>свыше 32</t>
  </si>
  <si>
    <t xml:space="preserve">Итого </t>
  </si>
  <si>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</si>
  <si>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</si>
  <si>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  <r>
      <rPr>
        <b/>
        <i/>
        <sz val="20"/>
        <color theme="1"/>
        <rFont val="Times New Roman"/>
        <family val="1"/>
        <charset val="204"/>
      </rPr>
      <t>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</si>
  <si>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н</t>
    </r>
  </si>
  <si>
    <r>
      <rPr>
        <b/>
        <sz val="22"/>
        <color theme="3"/>
        <rFont val="Calibri"/>
        <family val="2"/>
        <charset val="204"/>
      </rPr>
      <t>Σ</t>
    </r>
    <r>
      <rPr>
        <b/>
        <sz val="22"/>
        <color theme="3"/>
        <rFont val="Times New Roman"/>
        <family val="1"/>
        <charset val="204"/>
      </rPr>
      <t>=</t>
    </r>
  </si>
  <si>
    <t xml:space="preserve">Выбороч.средняя </t>
  </si>
  <si>
    <t xml:space="preserve"> =2540/100=</t>
  </si>
  <si>
    <t xml:space="preserve">мин. </t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</si>
  <si>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1</t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</si>
  <si>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</si>
  <si>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</si>
  <si>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</si>
  <si>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</si>
  <si>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</si>
  <si>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</si>
  <si>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</si>
  <si>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</si>
  <si>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</si>
  <si>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b/>
        <i/>
        <vertAlign val="subscript"/>
        <sz val="22"/>
        <color theme="3"/>
        <rFont val="Times New Roman"/>
        <family val="1"/>
        <charset val="204"/>
      </rPr>
      <t xml:space="preserve">e </t>
    </r>
    <r>
      <rPr>
        <b/>
        <i/>
        <sz val="22"/>
        <color theme="3"/>
        <rFont val="Times New Roman"/>
        <family val="1"/>
        <charset val="204"/>
      </rPr>
      <t>=</t>
    </r>
  </si>
  <si>
    <r>
      <rPr>
        <b/>
        <sz val="14"/>
        <color theme="1"/>
        <rFont val="Times New Roman"/>
        <family val="1"/>
        <charset val="204"/>
      </rPr>
      <t>|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-x</t>
    </r>
    <r>
      <rPr>
        <b/>
        <i/>
        <vertAlign val="subscript"/>
        <sz val="14"/>
        <color theme="1"/>
        <rFont val="Times New Roman"/>
        <family val="1"/>
        <charset val="204"/>
      </rPr>
      <t>e</t>
    </r>
    <r>
      <rPr>
        <b/>
        <sz val="14"/>
        <color theme="1"/>
        <rFont val="Times New Roman"/>
        <family val="1"/>
        <charset val="204"/>
      </rPr>
      <t>|</t>
    </r>
  </si>
  <si>
    <t>A</t>
  </si>
  <si>
    <t>B</t>
  </si>
  <si>
    <t>C</t>
  </si>
  <si>
    <t>D</t>
  </si>
  <si>
    <t>E</t>
  </si>
  <si>
    <t>F</t>
  </si>
  <si>
    <t>G</t>
  </si>
  <si>
    <r>
      <rPr>
        <b/>
        <i/>
        <sz val="14"/>
        <color theme="1"/>
        <rFont val="Times New Roman"/>
        <family val="1"/>
        <charset val="204"/>
      </rPr>
      <t>(x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-x</t>
    </r>
    <r>
      <rPr>
        <b/>
        <i/>
        <vertAlign val="subscript"/>
        <sz val="14"/>
        <color theme="1"/>
        <rFont val="Times New Roman"/>
        <family val="1"/>
        <charset val="204"/>
      </rPr>
      <t>e</t>
    </r>
    <r>
      <rPr>
        <b/>
        <sz val="14"/>
        <color theme="1"/>
        <rFont val="Times New Roman"/>
        <family val="1"/>
        <charset val="204"/>
      </rPr>
      <t>)</t>
    </r>
    <r>
      <rPr>
        <b/>
        <vertAlign val="superscript"/>
        <sz val="14"/>
        <color theme="1"/>
        <rFont val="Times New Roman"/>
        <family val="1"/>
        <charset val="204"/>
      </rPr>
      <t>2</t>
    </r>
  </si>
  <si>
    <r>
      <rPr>
        <b/>
        <i/>
        <sz val="20"/>
        <color theme="3"/>
        <rFont val="Times New Roman"/>
        <family val="1"/>
        <charset val="204"/>
      </rPr>
      <t>D</t>
    </r>
    <r>
      <rPr>
        <b/>
        <i/>
        <vertAlign val="subscript"/>
        <sz val="20"/>
        <color theme="3"/>
        <rFont val="Times New Roman"/>
        <family val="1"/>
        <charset val="204"/>
      </rPr>
      <t>e</t>
    </r>
    <r>
      <rPr>
        <b/>
        <i/>
        <sz val="20"/>
        <color theme="3"/>
        <rFont val="Times New Roman"/>
        <family val="1"/>
        <charset val="204"/>
      </rPr>
      <t>=</t>
    </r>
  </si>
  <si>
    <r>
      <rPr>
        <b/>
        <i/>
        <sz val="16"/>
        <color theme="1"/>
        <rFont val="Times New Roman"/>
        <family val="1"/>
        <charset val="204"/>
      </rPr>
      <t>t</t>
    </r>
    <r>
      <rPr>
        <b/>
        <i/>
        <vertAlign val="subscript"/>
        <sz val="16"/>
        <color theme="1"/>
        <rFont val="Times New Roman"/>
        <family val="1"/>
        <charset val="204"/>
      </rPr>
      <t xml:space="preserve">i </t>
    </r>
    <r>
      <rPr>
        <b/>
        <i/>
        <sz val="16"/>
        <color theme="1"/>
        <rFont val="Times New Roman"/>
        <family val="1"/>
        <charset val="204"/>
      </rPr>
      <t>n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</si>
  <si>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t xml:space="preserve">Длит. соед, мин., </t>
    </r>
    <r>
      <rPr>
        <b/>
        <i/>
        <sz val="22"/>
        <color theme="1"/>
        <rFont val="Times New Roman"/>
        <family val="1"/>
        <charset val="204"/>
      </rPr>
      <t>t</t>
    </r>
    <r>
      <rPr>
        <b/>
        <i/>
        <vertAlign val="subscript"/>
        <sz val="22"/>
        <color theme="1"/>
        <rFont val="Times New Roman"/>
        <family val="1"/>
        <charset val="204"/>
      </rPr>
      <t>i</t>
    </r>
  </si>
  <si>
    <r>
      <t xml:space="preserve">Кол. звонков, </t>
    </r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2"/>
        <color theme="1"/>
        <rFont val="Times New Roman"/>
        <family val="1"/>
        <charset val="204"/>
      </rPr>
      <t>i</t>
    </r>
  </si>
  <si>
    <r>
      <rPr>
        <sz val="22"/>
        <color theme="1"/>
        <rFont val="Calibri"/>
        <family val="2"/>
        <charset val="204"/>
      </rPr>
      <t>Σ</t>
    </r>
    <r>
      <rPr>
        <sz val="22"/>
        <color theme="1"/>
        <rFont val="Times New Roman"/>
        <family val="1"/>
        <charset val="204"/>
      </rPr>
      <t>=</t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</si>
  <si>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vertAlign val="superscript"/>
        <sz val="14"/>
        <color theme="1"/>
        <rFont val="Times New Roman"/>
        <family val="1"/>
        <charset val="204"/>
      </rPr>
      <t>2</t>
    </r>
  </si>
  <si>
    <r>
      <t xml:space="preserve">Середины,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</si>
  <si>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 xml:space="preserve">Частоты, 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</si>
  <si>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200-400</t>
  </si>
  <si>
    <t>400-600</t>
  </si>
  <si>
    <t>600-800</t>
  </si>
  <si>
    <t>800-1000</t>
  </si>
  <si>
    <t>1000-1200</t>
  </si>
  <si>
    <t>Размер вклада</t>
  </si>
  <si>
    <t>Число вкладчиков</t>
  </si>
  <si>
    <t>до 400</t>
  </si>
  <si>
    <t>свыше 1000</t>
  </si>
  <si>
    <r>
      <rPr>
        <sz val="14"/>
        <color theme="1"/>
        <rFont val="Calibri"/>
        <family val="2"/>
        <charset val="204"/>
      </rPr>
      <t>Σ</t>
    </r>
    <r>
      <rPr>
        <sz val="14"/>
        <color theme="1"/>
        <rFont val="Times New Roman"/>
        <family val="1"/>
        <charset val="204"/>
      </rPr>
      <t>=</t>
    </r>
  </si>
  <si>
    <r>
      <t xml:space="preserve">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</si>
  <si>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 xml:space="preserve"> </t>
    </r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</si>
  <si>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(тыс.д.е.)</t>
  </si>
  <si>
    <r>
      <rPr>
        <b/>
        <sz val="14"/>
        <color rgb="FF0070C0"/>
        <rFont val="Times New Roman"/>
        <family val="1"/>
        <charset val="204"/>
      </rPr>
      <t>(тыс.д.е.)</t>
    </r>
    <r>
      <rPr>
        <b/>
        <vertAlign val="superscript"/>
        <sz val="14"/>
        <color rgb="FF0070C0"/>
        <rFont val="Times New Roman"/>
        <family val="1"/>
        <charset val="204"/>
      </rPr>
      <t>2</t>
    </r>
  </si>
  <si>
    <r>
      <t>(тыс.д.е.)</t>
    </r>
    <r>
      <rPr>
        <b/>
        <i/>
        <vertAlign val="superscript"/>
        <sz val="14"/>
        <color rgb="FFC00000"/>
        <rFont val="Times New Roman"/>
        <family val="1"/>
        <charset val="204"/>
      </rPr>
      <t>2</t>
    </r>
  </si>
  <si>
    <r>
      <rPr>
        <b/>
        <i/>
        <sz val="14"/>
        <color theme="1"/>
        <rFont val="Times New Roman"/>
        <family val="1"/>
        <charset val="204"/>
      </rP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</si>
  <si>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</si>
  <si>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</si>
  <si>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Суммы</t>
  </si>
  <si>
    <r>
      <rPr>
        <b/>
        <i/>
        <sz val="20"/>
        <color rgb="FF00B0F0"/>
        <rFont val="Times New Roman"/>
        <family val="1"/>
        <charset val="204"/>
      </rPr>
      <t>D</t>
    </r>
    <r>
      <rPr>
        <b/>
        <i/>
        <vertAlign val="subscript"/>
        <sz val="20"/>
        <color rgb="FF00B0F0"/>
        <rFont val="Times New Roman"/>
        <family val="1"/>
        <charset val="204"/>
      </rPr>
      <t>e</t>
    </r>
    <r>
      <rPr>
        <b/>
        <i/>
        <sz val="20"/>
        <color rgb="FF00B0F0"/>
        <rFont val="Times New Roman"/>
        <family val="1"/>
        <charset val="204"/>
      </rPr>
      <t>=</t>
    </r>
  </si>
  <si>
    <t>𝛅=</t>
  </si>
  <si>
    <r>
      <rPr>
        <b/>
        <i/>
        <sz val="20"/>
        <color rgb="FF7030A0"/>
        <rFont val="Times New Roman"/>
        <family val="1"/>
        <charset val="204"/>
      </rPr>
      <t>m</t>
    </r>
    <r>
      <rPr>
        <b/>
        <i/>
        <vertAlign val="subscript"/>
        <sz val="20"/>
        <color rgb="FF7030A0"/>
        <rFont val="Times New Roman"/>
        <family val="1"/>
        <charset val="204"/>
      </rPr>
      <t>3</t>
    </r>
    <r>
      <rPr>
        <b/>
        <i/>
        <sz val="20"/>
        <color rgb="FF7030A0"/>
        <rFont val="Times New Roman"/>
        <family val="1"/>
        <charset val="204"/>
      </rPr>
      <t>=</t>
    </r>
  </si>
  <si>
    <r>
      <t>m</t>
    </r>
    <r>
      <rPr>
        <b/>
        <i/>
        <vertAlign val="subscript"/>
        <sz val="20"/>
        <color rgb="FF7030A0"/>
        <rFont val="Times New Roman"/>
        <family val="1"/>
        <charset val="204"/>
      </rPr>
      <t>4</t>
    </r>
    <r>
      <rPr>
        <b/>
        <i/>
        <sz val="20"/>
        <color rgb="FF7030A0"/>
        <rFont val="Times New Roman"/>
        <family val="1"/>
        <charset val="204"/>
      </rPr>
      <t>=</t>
    </r>
  </si>
  <si>
    <t>Коэффициент асимметрии:</t>
  </si>
  <si>
    <t>Коэффициент эксцесса:</t>
  </si>
  <si>
    <t>Исходные данные:</t>
  </si>
  <si>
    <t>Минимальное значение</t>
  </si>
  <si>
    <t>Максимальное значение</t>
  </si>
  <si>
    <t>Размах вариации</t>
  </si>
  <si>
    <t>Количество частичных интервалов</t>
  </si>
  <si>
    <t>(по условию)</t>
  </si>
  <si>
    <t>Длина интервала</t>
  </si>
  <si>
    <t>Разметить интервалы и подсчитать частоту по каждому интервалу,</t>
  </si>
  <si>
    <t>вычислить относительные частоты и относительные накопленные частоты:</t>
  </si>
  <si>
    <t>Суммы:</t>
  </si>
  <si>
    <t xml:space="preserve">2) По результатам предыдущего пункта построить гистограмму относительных частот </t>
  </si>
  <si>
    <t>и эмпирическую функцию распределения</t>
  </si>
  <si>
    <t xml:space="preserve">Мода </t>
  </si>
  <si>
    <t>Медиана</t>
  </si>
  <si>
    <t>4) Найти середины интервалов и вычислить выборочную среднюю,</t>
  </si>
  <si>
    <t>заполнить оставшуюся часть таблицы и остальные показатели</t>
  </si>
  <si>
    <t>5) Найти моменты 3-го и 4-го порядков и вычислить коэффициенты асимметрии и эксцесса</t>
  </si>
  <si>
    <t>6) Обоснование закона распределения можно найти в конце указанного урока</t>
  </si>
  <si>
    <t>7) Найти теоретические частоты по формуле</t>
  </si>
  <si>
    <t>, где</t>
  </si>
  <si>
    <t>Значения функции Гаусса удобно рассчитать с помощью функции =НОРМРАСП(zi;0;1;0)</t>
  </si>
  <si>
    <t>О построении гистограммы и нормальной кривой читайте на указанном выше уроке</t>
  </si>
  <si>
    <t>8) Проверка гипотезы с помощью критерия согласия Пирсона</t>
  </si>
  <si>
    <t>Находим наблюдаемое значение критерия</t>
  </si>
  <si>
    <t>Вычисления сведём в таблицу:</t>
  </si>
  <si>
    <t>Делаем вывод</t>
  </si>
  <si>
    <r>
      <t>С помощью функции</t>
    </r>
    <r>
      <rPr>
        <i/>
        <sz val="14"/>
        <rFont val="Times New Roman"/>
        <family val="1"/>
        <charset val="204"/>
      </rPr>
      <t xml:space="preserve"> =ХИ2ОБР(alpha; k)</t>
    </r>
    <r>
      <rPr>
        <sz val="14"/>
        <rFont val="Times New Roman"/>
        <family val="1"/>
        <charset val="204"/>
      </rPr>
      <t xml:space="preserve"> находим теоретическое значение критерия:</t>
    </r>
  </si>
  <si>
    <t>Мода=</t>
  </si>
  <si>
    <t>медиана=</t>
  </si>
  <si>
    <r>
      <rPr>
        <b/>
        <i/>
        <sz val="14"/>
        <rFont val="Times New Roman"/>
        <family val="1"/>
        <charset val="204"/>
      </rPr>
      <t>x</t>
    </r>
    <r>
      <rPr>
        <b/>
        <i/>
        <vertAlign val="sub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=18 - нижняя граница модального интервала</t>
    </r>
  </si>
  <si>
    <r>
      <rPr>
        <b/>
        <i/>
        <sz val="14"/>
        <rFont val="Times New Roman"/>
        <family val="1"/>
        <charset val="204"/>
      </rPr>
      <t>h</t>
    </r>
    <r>
      <rPr>
        <sz val="14"/>
        <rFont val="Times New Roman"/>
        <family val="1"/>
        <charset val="204"/>
      </rPr>
      <t>=1 - длнна модального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</si>
  <si>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</t>
    </r>
    <r>
      <rPr>
        <sz val="14"/>
        <rFont val="Times New Roman"/>
        <family val="1"/>
        <charset val="204"/>
      </rPr>
      <t>=16 - частота модального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</si>
  <si>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M-1</t>
    </r>
    <r>
      <rPr>
        <sz val="14"/>
        <rFont val="Times New Roman"/>
        <family val="1"/>
        <charset val="204"/>
      </rPr>
      <t>=15 - частота предыдущего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</si>
  <si>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M+1</t>
    </r>
    <r>
      <rPr>
        <sz val="14"/>
        <rFont val="Times New Roman"/>
        <family val="1"/>
        <charset val="204"/>
      </rPr>
      <t>=16 - частота следующего интервала</t>
    </r>
  </si>
  <si>
    <t>ед.</t>
  </si>
  <si>
    <r>
      <rPr>
        <b/>
        <i/>
        <sz val="14"/>
        <rFont val="Times New Roman"/>
        <family val="1"/>
        <charset val="204"/>
      </rPr>
      <t>n</t>
    </r>
    <r>
      <rPr>
        <sz val="14"/>
        <rFont val="Times New Roman"/>
        <family val="1"/>
        <charset val="204"/>
      </rPr>
      <t>=100 =- объём выборочной совокупности</t>
    </r>
  </si>
  <si>
    <r>
      <t xml:space="preserve">половину вариант содержит интервал (18; 19) и </t>
    </r>
    <r>
      <rPr>
        <b/>
        <i/>
        <sz val="14"/>
        <rFont val="Times New Roman"/>
        <family val="1"/>
        <charset val="204"/>
      </rPr>
      <t>x</t>
    </r>
    <r>
      <rPr>
        <b/>
        <i/>
        <vertAlign val="sub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=18 - его нижняя граница</t>
    </r>
  </si>
  <si>
    <r>
      <rPr>
        <b/>
        <i/>
        <sz val="14"/>
        <rFont val="Times New Roman"/>
        <family val="1"/>
        <charset val="204"/>
      </rPr>
      <t>h</t>
    </r>
    <r>
      <rPr>
        <sz val="14"/>
        <rFont val="Times New Roman"/>
        <family val="1"/>
        <charset val="204"/>
      </rPr>
      <t>=1 - длина мелианного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</si>
  <si>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bscript"/>
        <sz val="14"/>
        <rFont val="Times New Roman"/>
        <family val="1"/>
        <charset val="204"/>
      </rPr>
      <t>m</t>
    </r>
    <r>
      <rPr>
        <sz val="14"/>
        <rFont val="Times New Roman"/>
        <family val="1"/>
        <charset val="204"/>
      </rPr>
      <t>=16 - частота медианного интервала</t>
    </r>
  </si>
  <si>
    <r>
      <rPr>
        <b/>
        <i/>
        <sz val="14"/>
        <rFont val="Times New Roman"/>
        <family val="1"/>
        <charset val="204"/>
      </rPr>
      <t>n</t>
    </r>
    <r>
      <rPr>
        <b/>
        <i/>
        <vertAlign val="superscript"/>
        <sz val="14"/>
        <rFont val="Times New Roman"/>
        <family val="1"/>
        <charset val="204"/>
      </rPr>
      <t>н</t>
    </r>
    <r>
      <rPr>
        <b/>
        <i/>
        <vertAlign val="subscript"/>
        <sz val="14"/>
        <rFont val="Times New Roman"/>
        <family val="1"/>
        <charset val="204"/>
      </rPr>
      <t>m-1</t>
    </r>
    <r>
      <rPr>
        <sz val="14"/>
        <rFont val="Times New Roman"/>
        <family val="1"/>
        <charset val="204"/>
      </rPr>
      <t xml:space="preserve"> = 8+10+9+15 = 42 - накопленная частота предыдущего интервала</t>
    </r>
  </si>
  <si>
    <t>18+(0,5*100-42)/16=</t>
  </si>
  <si>
    <t>%</t>
  </si>
  <si>
    <t>3)Вычисление моды и медианы</t>
  </si>
  <si>
    <t>1) Составление интервального вариационного ряда, состоящего из 9 равных интервалов</t>
  </si>
  <si>
    <t>Урожайность, ц/га</t>
  </si>
  <si>
    <t>Посевная площадь, га</t>
  </si>
  <si>
    <t>до 13</t>
  </si>
  <si>
    <t>от 13 до 15</t>
  </si>
  <si>
    <t>от 15 до 17</t>
  </si>
  <si>
    <t>от 17 до 19</t>
  </si>
  <si>
    <t>свыше 19</t>
  </si>
  <si>
    <r>
      <rPr>
        <sz val="20"/>
        <color theme="1"/>
        <rFont val="Calibri"/>
        <family val="2"/>
        <charset val="204"/>
      </rPr>
      <t>Σ</t>
    </r>
    <r>
      <rPr>
        <sz val="20"/>
        <color theme="1"/>
        <rFont val="Times New Roman"/>
        <family val="1"/>
        <charset val="204"/>
      </rPr>
      <t>=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</si>
  <si>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</si>
  <si>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  <r>
      <rPr>
        <b/>
        <i/>
        <sz val="14"/>
        <color theme="1"/>
        <rFont val="Times New Roman"/>
        <family val="1"/>
        <charset val="204"/>
      </rPr>
      <t>n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</si>
  <si>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13-15</t>
  </si>
  <si>
    <t>11-13</t>
  </si>
  <si>
    <t>15-17</t>
  </si>
  <si>
    <t>17-19</t>
  </si>
  <si>
    <t>19-21</t>
  </si>
  <si>
    <t>Исправленная дисперсия:</t>
  </si>
  <si>
    <r>
      <t>y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</si>
  <si>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d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</si>
  <si>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d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</si>
  <si>
    <t>Выборочная средняя разница</t>
  </si>
  <si>
    <t> исправленное стандартное отклонение</t>
  </si>
  <si>
    <r>
      <t>m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</si>
  <si>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m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</si>
  <si>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r>
      <t>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vertAlign val="superscript"/>
        <sz val="14"/>
        <color theme="1"/>
        <rFont val="Times New Roman"/>
        <family val="1"/>
        <charset val="204"/>
      </rPr>
      <t>2</t>
    </r>
    <r>
      <rPr>
        <b/>
        <i/>
        <sz val="14"/>
        <color theme="1"/>
        <rFont val="Times New Roman"/>
        <family val="1"/>
        <charset val="204"/>
      </rPr>
      <t>m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</si>
  <si>
    <t>Выборочные дисперсии</t>
  </si>
  <si>
    <t>Исправленные дисперсии</t>
  </si>
  <si>
    <t>Вычисление значения функции Лапласа</t>
  </si>
  <si>
    <t>Ф(х)=</t>
  </si>
  <si>
    <t>х=</t>
  </si>
  <si>
    <t xml:space="preserve"> Нахождение  х по известному значению  Ф(х)</t>
  </si>
  <si>
    <t>Таким образом,</t>
  </si>
  <si>
    <t>Нахождение критической точки распределения χ2</t>
  </si>
  <si>
    <r>
      <t>χ</t>
    </r>
    <r>
      <rPr>
        <b/>
        <i/>
        <vertAlign val="superscript"/>
        <sz val="22"/>
        <color rgb="FFC00000"/>
        <rFont val="Times New Roman"/>
        <family val="1"/>
        <charset val="204"/>
      </rPr>
      <t>2</t>
    </r>
    <r>
      <rPr>
        <b/>
        <i/>
        <vertAlign val="subscript"/>
        <sz val="22"/>
        <color rgb="FFC00000"/>
        <rFont val="Times New Roman"/>
        <family val="1"/>
        <charset val="204"/>
      </rPr>
      <t>кр</t>
    </r>
    <r>
      <rPr>
        <b/>
        <i/>
        <vertAlign val="superscript"/>
        <sz val="22"/>
        <color rgb="FFC00000"/>
        <rFont val="Times New Roman"/>
        <family val="1"/>
        <charset val="204"/>
      </rPr>
      <t xml:space="preserve"> </t>
    </r>
    <r>
      <rPr>
        <b/>
        <i/>
        <sz val="22"/>
        <color rgb="FFC00000"/>
        <rFont val="Times New Roman"/>
        <family val="1"/>
        <charset val="204"/>
      </rPr>
      <t>= χ</t>
    </r>
    <r>
      <rPr>
        <b/>
        <i/>
        <vertAlign val="superscript"/>
        <sz val="22"/>
        <color rgb="FFC00000"/>
        <rFont val="Times New Roman"/>
        <family val="1"/>
        <charset val="204"/>
      </rPr>
      <t>2</t>
    </r>
    <r>
      <rPr>
        <b/>
        <i/>
        <vertAlign val="subscript"/>
        <sz val="22"/>
        <color rgb="FFC00000"/>
        <rFont val="Times New Roman"/>
        <family val="1"/>
        <charset val="204"/>
      </rPr>
      <t>кр</t>
    </r>
    <r>
      <rPr>
        <b/>
        <i/>
        <sz val="22"/>
        <color rgb="FFC00000"/>
        <rFont val="Times New Roman"/>
        <family val="1"/>
        <charset val="204"/>
      </rPr>
      <t>(α, k)</t>
    </r>
    <r>
      <rPr>
        <sz val="22"/>
        <color rgb="FFC00000"/>
        <rFont val="Times New Roman"/>
        <family val="1"/>
        <charset val="204"/>
      </rPr>
      <t xml:space="preserve"> =</t>
    </r>
  </si>
  <si>
    <r>
      <t xml:space="preserve">Введите количество степеней свободы </t>
    </r>
    <r>
      <rPr>
        <b/>
        <i/>
        <sz val="20"/>
        <color rgb="FF7030A0"/>
        <rFont val="Times New Roman"/>
        <family val="1"/>
        <charset val="204"/>
      </rPr>
      <t>k=</t>
    </r>
  </si>
  <si>
    <r>
      <t xml:space="preserve">и значение </t>
    </r>
    <r>
      <rPr>
        <b/>
        <i/>
        <sz val="20"/>
        <color rgb="FF0070C0"/>
        <rFont val="Times New Roman"/>
        <family val="1"/>
        <charset val="204"/>
      </rPr>
      <t>α=</t>
    </r>
  </si>
  <si>
    <t>H</t>
  </si>
  <si>
    <t>I</t>
  </si>
  <si>
    <t>7,5-10,5</t>
  </si>
  <si>
    <t>10,5-13,5</t>
  </si>
  <si>
    <t>13,5-16,5</t>
  </si>
  <si>
    <t>16,5-19,5</t>
  </si>
  <si>
    <t>19,5-22,5</t>
  </si>
  <si>
    <t>22,5-25,5</t>
  </si>
  <si>
    <t>25.5-28,5</t>
  </si>
  <si>
    <t>28,5-31,5</t>
  </si>
  <si>
    <t>31,5-34,5</t>
  </si>
  <si>
    <t>Выборочная средняя</t>
  </si>
  <si>
    <t>Выборочная дисперсия</t>
  </si>
  <si>
    <t xml:space="preserve">Выборочное СКО = </t>
  </si>
  <si>
    <t>литра</t>
  </si>
  <si>
    <t>Теоретические частоты</t>
  </si>
  <si>
    <t xml:space="preserve">где </t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</si>
  <si>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</si>
  <si>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z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</si>
  <si>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f(z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  <r>
      <rPr>
        <b/>
        <i/>
        <sz val="20"/>
        <color theme="1"/>
        <rFont val="Times New Roman"/>
        <family val="1"/>
        <charset val="204"/>
      </rPr>
      <t>)</t>
    </r>
  </si>
  <si>
    <r>
      <t>n'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</si>
  <si>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t>Σ=</t>
  </si>
  <si>
    <t>n=</t>
  </si>
  <si>
    <t>h=</t>
  </si>
  <si>
    <r>
      <t>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</si>
  <si>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>p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</si>
  <si>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t>№ вар.</t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</si>
  <si>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1</t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</si>
  <si>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</si>
  <si>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3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</si>
  <si>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</si>
  <si>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5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</si>
  <si>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6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</si>
  <si>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7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</si>
  <si>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8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</si>
  <si>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9</t>
    </r>
    <r>
      <rPr>
        <sz val="11"/>
        <color theme="1"/>
        <rFont val="Calibri"/>
        <family val="2"/>
        <charset val="204"/>
        <scheme val="minor"/>
      </rPr>
      <t/>
    </r>
  </si>
  <si>
    <r>
      <t>t</t>
    </r>
    <r>
      <rPr>
        <b/>
        <i/>
        <vertAlign val="subscript"/>
        <sz val="14"/>
        <color theme="1"/>
        <rFont val="Times New Roman"/>
        <family val="1"/>
        <charset val="204"/>
      </rPr>
      <t>10</t>
    </r>
    <r>
      <rPr>
        <sz val="11"/>
        <color theme="1"/>
        <rFont val="Calibri"/>
        <family val="2"/>
        <charset val="204"/>
        <scheme val="minor"/>
      </rPr>
      <t/>
    </r>
  </si>
  <si>
    <t>Число заеров. n</t>
  </si>
  <si>
    <t>Результаты измерений, сек.</t>
  </si>
  <si>
    <t>Количество студентов с оценками</t>
  </si>
  <si>
    <t>А</t>
  </si>
  <si>
    <t>Б</t>
  </si>
  <si>
    <t>В</t>
  </si>
  <si>
    <t>Посев. площадь, тыс.га</t>
  </si>
  <si>
    <t>47-48</t>
  </si>
  <si>
    <t>52-53</t>
  </si>
  <si>
    <t>Количество пачек, ni</t>
  </si>
  <si>
    <r>
      <t>Вес, грамм, X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</si>
  <si>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t>Вариант 1</t>
  </si>
  <si>
    <t>Вариант 2</t>
  </si>
  <si>
    <t>Вариант 3</t>
  </si>
  <si>
    <t>Вариант 4</t>
  </si>
  <si>
    <t>Вариант 5</t>
  </si>
  <si>
    <t>Вариант 6</t>
  </si>
  <si>
    <t>Вариант 7</t>
  </si>
  <si>
    <t>Вариант 8</t>
  </si>
  <si>
    <t>Вариант 9</t>
  </si>
  <si>
    <t>Вариант 10</t>
  </si>
  <si>
    <t>Вариант 11</t>
  </si>
  <si>
    <t>Вариант 12</t>
  </si>
  <si>
    <t>Вариант 13</t>
  </si>
  <si>
    <t>Вариант 14</t>
  </si>
  <si>
    <t>Вариант 15</t>
  </si>
  <si>
    <t>Вариант 16</t>
  </si>
  <si>
    <t>Вариант 17</t>
  </si>
  <si>
    <t>Вариант 18</t>
  </si>
  <si>
    <t>Вариант 19</t>
  </si>
  <si>
    <t>Вариант 20</t>
  </si>
  <si>
    <t>Вариант 21</t>
  </si>
  <si>
    <t>Вариант 22</t>
  </si>
  <si>
    <t>Вариант 23</t>
  </si>
  <si>
    <t>Вариант 24</t>
  </si>
  <si>
    <t>Затраты на 1 деталь мин.</t>
  </si>
  <si>
    <t>до19</t>
  </si>
  <si>
    <t>от 19 до 23</t>
  </si>
  <si>
    <t>от 23 до 27</t>
  </si>
  <si>
    <t>от 27 до 31</t>
  </si>
  <si>
    <t>свыше 31</t>
  </si>
  <si>
    <r>
      <t>x</t>
    </r>
    <r>
      <rPr>
        <b/>
        <vertAlign val="subscript"/>
        <sz val="16"/>
        <color theme="1"/>
        <rFont val="Times New Roman"/>
        <family val="1"/>
        <charset val="204"/>
      </rPr>
      <t>i</t>
    </r>
  </si>
  <si>
    <t>min=</t>
  </si>
  <si>
    <t>max=</t>
  </si>
  <si>
    <t>R = xmax – xmin =</t>
  </si>
  <si>
    <t>J</t>
  </si>
  <si>
    <t>K</t>
  </si>
  <si>
    <t>L</t>
  </si>
  <si>
    <r>
      <rPr>
        <b/>
        <sz val="14"/>
        <color theme="1"/>
        <rFont val="Times New Roman"/>
        <family val="1"/>
        <charset val="204"/>
      </rPr>
      <t>Результаты измерений</t>
    </r>
    <r>
      <rPr>
        <b/>
        <i/>
        <sz val="14"/>
        <color theme="1"/>
        <rFont val="Times New Roman"/>
        <family val="1"/>
        <charset val="204"/>
      </rPr>
      <t>,</t>
    </r>
    <r>
      <rPr>
        <b/>
        <i/>
        <sz val="20"/>
        <color theme="1"/>
        <rFont val="Times New Roman"/>
        <family val="1"/>
        <charset val="204"/>
      </rPr>
      <t xml:space="preserve"> x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</si>
  <si>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 xml:space="preserve">Длительность соединения, мин., </t>
    </r>
    <r>
      <rPr>
        <b/>
        <i/>
        <sz val="20"/>
        <color theme="1"/>
        <rFont val="Times New Roman"/>
        <family val="1"/>
        <charset val="204"/>
      </rPr>
      <t>t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</si>
  <si>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r>
      <t xml:space="preserve">Количество звонков, </t>
    </r>
    <r>
      <rPr>
        <b/>
        <i/>
        <sz val="20"/>
        <color theme="1"/>
        <rFont val="Times New Roman"/>
        <family val="1"/>
        <charset val="204"/>
      </rPr>
      <t>n</t>
    </r>
    <r>
      <rPr>
        <b/>
        <i/>
        <vertAlign val="subscript"/>
        <sz val="20"/>
        <color theme="1"/>
        <rFont val="Times New Roman"/>
        <family val="1"/>
        <charset val="204"/>
      </rPr>
      <t>i</t>
    </r>
  </si>
  <si>
    <t>Размер вклада, ден.ед.</t>
  </si>
  <si>
    <t>СКО</t>
  </si>
  <si>
    <t>V</t>
  </si>
  <si>
    <t>январь</t>
  </si>
  <si>
    <t>февраль</t>
  </si>
  <si>
    <t>март</t>
  </si>
  <si>
    <t>апрель</t>
  </si>
  <si>
    <t>май</t>
  </si>
  <si>
    <t>июнь</t>
  </si>
  <si>
    <t>𝛾</t>
  </si>
  <si>
    <t>n</t>
  </si>
  <si>
    <t>m</t>
  </si>
  <si>
    <t>𝜹</t>
  </si>
  <si>
    <t>p</t>
  </si>
  <si>
    <t>от15  до 17</t>
  </si>
  <si>
    <t>% обслед.</t>
  </si>
  <si>
    <r>
      <t>D</t>
    </r>
    <r>
      <rPr>
        <b/>
        <i/>
        <vertAlign val="subscript"/>
        <sz val="14"/>
        <color theme="1"/>
        <rFont val="Times New Roman"/>
        <family val="1"/>
        <charset val="204"/>
      </rPr>
      <t>в</t>
    </r>
  </si>
  <si>
    <r>
      <t>Р</t>
    </r>
    <r>
      <rPr>
        <b/>
        <i/>
        <vertAlign val="subscript"/>
        <sz val="14"/>
        <color theme="1"/>
        <rFont val="Times New Roman"/>
        <family val="1"/>
        <charset val="204"/>
      </rPr>
      <t>доверит.</t>
    </r>
  </si>
  <si>
    <t>% выборки</t>
  </si>
  <si>
    <t>Суточ. пробег, км</t>
  </si>
  <si>
    <t>Число автом. в выборке</t>
  </si>
  <si>
    <t>Пробег выше, км</t>
  </si>
  <si>
    <t>Число автом. в выборке, шт.</t>
  </si>
  <si>
    <t xml:space="preserve"> выборки</t>
  </si>
  <si>
    <t xml:space="preserve">Пробег выше, </t>
  </si>
  <si>
    <t>км</t>
  </si>
  <si>
    <t>до 160</t>
  </si>
  <si>
    <t>от 160 до180</t>
  </si>
  <si>
    <t>от180 до 200</t>
  </si>
  <si>
    <t>от 200 до 220</t>
  </si>
  <si>
    <t>свыше 220</t>
  </si>
  <si>
    <t>Вес пирожных, г</t>
  </si>
  <si>
    <t>до 96</t>
  </si>
  <si>
    <t>от 96 до98</t>
  </si>
  <si>
    <t>от98 до 100</t>
  </si>
  <si>
    <t>от 100 до 102</t>
  </si>
  <si>
    <t>свыше 102</t>
  </si>
  <si>
    <t>Вес не менее</t>
  </si>
  <si>
    <t>г</t>
  </si>
  <si>
    <t>Дисперсия</t>
  </si>
  <si>
    <t xml:space="preserve">Ур. зн. </t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</si>
  <si>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 xml:space="preserve">=20  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</si>
  <si>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>=19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</si>
  <si>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 xml:space="preserve">=250  </t>
    </r>
    <r>
      <rPr>
        <vertAlign val="super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>С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</si>
  <si>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sz val="20"/>
        <color theme="1"/>
        <rFont val="Times New Roman"/>
        <family val="1"/>
        <charset val="204"/>
      </rPr>
      <t xml:space="preserve">: a&gt;250  </t>
    </r>
    <r>
      <rPr>
        <vertAlign val="super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>С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</si>
  <si>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sz val="20"/>
        <color theme="1"/>
        <rFont val="Times New Roman"/>
        <family val="1"/>
        <charset val="204"/>
      </rPr>
      <t xml:space="preserve">: </t>
    </r>
    <r>
      <rPr>
        <b/>
        <i/>
        <sz val="20"/>
        <color theme="1"/>
        <rFont val="Times New Roman"/>
        <family val="1"/>
        <charset val="204"/>
      </rPr>
      <t>a</t>
    </r>
    <r>
      <rPr>
        <sz val="20"/>
        <color theme="1"/>
        <rFont val="Times New Roman"/>
        <family val="1"/>
        <charset val="204"/>
      </rPr>
      <t>=0,5 мг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</si>
  <si>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>: a=50 мм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</si>
  <si>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a</t>
    </r>
    <r>
      <rPr>
        <b/>
        <sz val="20"/>
        <color theme="1"/>
        <rFont val="Calibri"/>
        <family val="2"/>
        <charset val="204"/>
      </rPr>
      <t>≠</t>
    </r>
    <r>
      <rPr>
        <b/>
        <i/>
        <sz val="20"/>
        <color theme="1"/>
        <rFont val="Times New Roman"/>
        <family val="1"/>
        <charset val="204"/>
      </rPr>
      <t>50 мм</t>
    </r>
  </si>
  <si>
    <t>Дисп.  У</t>
  </si>
  <si>
    <t>Дисп.  Х</t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</si>
  <si>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в1</t>
    </r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</si>
  <si>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в2</t>
    </r>
    <r>
      <rPr>
        <sz val="11"/>
        <color theme="1"/>
        <rFont val="Calibri"/>
        <family val="2"/>
        <charset val="204"/>
        <scheme val="minor"/>
      </rPr>
      <t/>
    </r>
  </si>
  <si>
    <r>
      <t>H</t>
    </r>
    <r>
      <rPr>
        <b/>
        <i/>
        <vertAlign val="subscript"/>
        <sz val="16"/>
        <color theme="1"/>
        <rFont val="Times New Roman"/>
        <family val="1"/>
        <charset val="204"/>
      </rPr>
      <t>0</t>
    </r>
    <r>
      <rPr>
        <b/>
        <i/>
        <sz val="16"/>
        <color theme="1"/>
        <rFont val="Times New Roman"/>
        <family val="1"/>
        <charset val="204"/>
      </rPr>
      <t>: a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=a</t>
    </r>
    <r>
      <rPr>
        <b/>
        <i/>
        <vertAlign val="subscript"/>
        <sz val="16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</si>
  <si>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: a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&lt;a</t>
    </r>
    <r>
      <rPr>
        <b/>
        <i/>
        <vertAlign val="subscript"/>
        <sz val="16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</si>
  <si>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i/>
        <sz val="16"/>
        <color theme="1"/>
        <rFont val="Times New Roman"/>
        <family val="1"/>
        <charset val="204"/>
      </rPr>
      <t>: a</t>
    </r>
    <r>
      <rPr>
        <b/>
        <i/>
        <vertAlign val="subscript"/>
        <sz val="16"/>
        <color theme="1"/>
        <rFont val="Times New Roman"/>
        <family val="1"/>
        <charset val="204"/>
      </rPr>
      <t>1</t>
    </r>
    <r>
      <rPr>
        <b/>
        <sz val="16"/>
        <color theme="1"/>
        <rFont val="Calibri"/>
        <family val="2"/>
        <charset val="204"/>
      </rPr>
      <t>≠</t>
    </r>
    <r>
      <rPr>
        <b/>
        <i/>
        <sz val="16"/>
        <color theme="1"/>
        <rFont val="Times New Roman"/>
        <family val="1"/>
        <charset val="204"/>
      </rPr>
      <t>a</t>
    </r>
    <r>
      <rPr>
        <b/>
        <i/>
        <vertAlign val="subscript"/>
        <sz val="16"/>
        <color theme="1"/>
        <rFont val="Times New Roman"/>
        <family val="1"/>
        <charset val="204"/>
      </rPr>
      <t>2</t>
    </r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</si>
  <si>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в</t>
    </r>
  </si>
  <si>
    <r>
      <t>y</t>
    </r>
    <r>
      <rPr>
        <b/>
        <i/>
        <vertAlign val="subscript"/>
        <sz val="16"/>
        <color theme="1"/>
        <rFont val="Times New Roman"/>
        <family val="1"/>
        <charset val="204"/>
      </rPr>
      <t>в</t>
    </r>
    <r>
      <rPr>
        <sz val="11"/>
        <color theme="1"/>
        <rFont val="Calibri"/>
        <family val="2"/>
        <charset val="204"/>
        <scheme val="minor"/>
      </rPr>
      <t/>
    </r>
  </si>
  <si>
    <t>Sx</t>
  </si>
  <si>
    <t>Sy</t>
  </si>
  <si>
    <r>
      <t>x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</si>
  <si>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t>y</t>
    </r>
    <r>
      <rPr>
        <b/>
        <i/>
        <vertAlign val="subscript"/>
        <sz val="16"/>
        <color theme="1"/>
        <rFont val="Times New Roman"/>
        <family val="1"/>
        <charset val="204"/>
      </rPr>
      <t>i</t>
    </r>
  </si>
  <si>
    <r>
      <rPr>
        <b/>
        <sz val="22"/>
        <color theme="1"/>
        <rFont val="Calibri"/>
        <family val="2"/>
        <charset val="204"/>
      </rPr>
      <t>α</t>
    </r>
    <r>
      <rPr>
        <b/>
        <i/>
        <sz val="22"/>
        <color theme="1"/>
        <rFont val="Times New Roman"/>
        <family val="1"/>
        <charset val="204"/>
      </rPr>
      <t>=0,05</t>
    </r>
  </si>
  <si>
    <t>Дисп. пасп.</t>
  </si>
  <si>
    <r>
      <t>s</t>
    </r>
    <r>
      <rPr>
        <b/>
        <vertAlign val="superscript"/>
        <sz val="18"/>
        <color theme="1"/>
        <rFont val="Cambria Math"/>
        <family val="1"/>
        <charset val="204"/>
      </rPr>
      <t>2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</si>
  <si>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 xml:space="preserve">:ген. дисперсия = дисп. пасп. 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</si>
  <si>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 xml:space="preserve">:ген. дисперсия &gt; дисп. пасп. </t>
    </r>
  </si>
  <si>
    <r>
      <t>s</t>
    </r>
    <r>
      <rPr>
        <b/>
        <vertAlign val="subscript"/>
        <sz val="18"/>
        <color theme="1"/>
        <rFont val="Cambria Math"/>
        <family val="1"/>
        <charset val="204"/>
      </rPr>
      <t>x</t>
    </r>
    <r>
      <rPr>
        <b/>
        <vertAlign val="superscript"/>
        <sz val="18"/>
        <color theme="1"/>
        <rFont val="Cambria Math"/>
        <family val="1"/>
        <charset val="204"/>
      </rPr>
      <t>2</t>
    </r>
  </si>
  <si>
    <r>
      <t>s</t>
    </r>
    <r>
      <rPr>
        <b/>
        <vertAlign val="subscript"/>
        <sz val="18"/>
        <color theme="1"/>
        <rFont val="Cambria Math"/>
        <family val="1"/>
        <charset val="204"/>
      </rPr>
      <t>y</t>
    </r>
    <r>
      <rPr>
        <b/>
        <vertAlign val="superscript"/>
        <sz val="18"/>
        <color theme="1"/>
        <rFont val="Cambria Math"/>
        <family val="1"/>
        <charset val="204"/>
      </rPr>
      <t>2</t>
    </r>
  </si>
  <si>
    <r>
      <t>x</t>
    </r>
    <r>
      <rPr>
        <b/>
        <i/>
        <vertAlign val="subscript"/>
        <sz val="18"/>
        <color theme="1"/>
        <rFont val="Times New Roman"/>
        <family val="1"/>
        <charset val="204"/>
      </rPr>
      <t>i</t>
    </r>
  </si>
  <si>
    <r>
      <t>n</t>
    </r>
    <r>
      <rPr>
        <b/>
        <i/>
        <vertAlign val="subscript"/>
        <sz val="18"/>
        <color theme="1"/>
        <rFont val="Times New Roman"/>
        <family val="1"/>
        <charset val="204"/>
      </rPr>
      <t>i</t>
    </r>
  </si>
  <si>
    <r>
      <t>m</t>
    </r>
    <r>
      <rPr>
        <b/>
        <i/>
        <vertAlign val="subscript"/>
        <sz val="18"/>
        <color theme="1"/>
        <rFont val="Times New Roman"/>
        <family val="1"/>
        <charset val="204"/>
      </rPr>
      <t>i</t>
    </r>
  </si>
  <si>
    <r>
      <rPr>
        <b/>
        <i/>
        <sz val="20"/>
        <color theme="1"/>
        <rFont val="Times New Roman"/>
        <family val="1"/>
        <charset val="204"/>
      </rP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>: p=0,8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</si>
  <si>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p&gt;0,8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</si>
  <si>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</si>
  <si>
    <r>
      <t>n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</si>
  <si>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m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</si>
  <si>
    <r>
      <t>m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</si>
  <si>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0</t>
    </r>
    <r>
      <rPr>
        <b/>
        <i/>
        <sz val="20"/>
        <color theme="1"/>
        <rFont val="Times New Roman"/>
        <family val="1"/>
        <charset val="204"/>
      </rPr>
      <t>: p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=p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</si>
  <si>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p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sz val="20"/>
        <color theme="1"/>
        <rFont val="Calibri"/>
        <family val="2"/>
        <charset val="204"/>
      </rPr>
      <t>≠</t>
    </r>
    <r>
      <rPr>
        <b/>
        <i/>
        <sz val="20"/>
        <color theme="1"/>
        <rFont val="Times New Roman"/>
        <family val="1"/>
        <charset val="204"/>
      </rPr>
      <t>p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</si>
  <si>
    <r>
      <t>H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i/>
        <sz val="20"/>
        <color theme="1"/>
        <rFont val="Times New Roman"/>
        <family val="1"/>
        <charset val="204"/>
      </rPr>
      <t>: p</t>
    </r>
    <r>
      <rPr>
        <b/>
        <i/>
        <vertAlign val="subscript"/>
        <sz val="20"/>
        <color theme="1"/>
        <rFont val="Times New Roman"/>
        <family val="1"/>
        <charset val="204"/>
      </rPr>
      <t>1</t>
    </r>
    <r>
      <rPr>
        <b/>
        <sz val="20"/>
        <color theme="1"/>
        <rFont val="Calibri"/>
        <family val="2"/>
        <charset val="204"/>
      </rPr>
      <t>&gt;</t>
    </r>
    <r>
      <rPr>
        <b/>
        <i/>
        <sz val="20"/>
        <color theme="1"/>
        <rFont val="Times New Roman"/>
        <family val="1"/>
        <charset val="204"/>
      </rPr>
      <t>p</t>
    </r>
    <r>
      <rPr>
        <b/>
        <i/>
        <vertAlign val="subscript"/>
        <sz val="20"/>
        <color theme="1"/>
        <rFont val="Times New Roman"/>
        <family val="1"/>
        <charset val="204"/>
      </rPr>
      <t>2</t>
    </r>
  </si>
  <si>
    <t>Надои, л</t>
  </si>
  <si>
    <r>
      <t>Число коров, n</t>
    </r>
    <r>
      <rPr>
        <b/>
        <i/>
        <vertAlign val="subscript"/>
        <sz val="14"/>
        <color theme="1"/>
        <rFont val="Times New Roman"/>
        <family val="1"/>
        <charset val="204"/>
      </rPr>
      <t xml:space="preserve">i, </t>
    </r>
    <r>
      <rPr>
        <b/>
        <i/>
        <sz val="14"/>
        <color theme="1"/>
        <rFont val="Times New Roman"/>
        <family val="1"/>
        <charset val="204"/>
      </rPr>
      <t>шт.</t>
    </r>
  </si>
  <si>
    <t>7,5- 10,5</t>
  </si>
  <si>
    <t>10,5- 13,5</t>
  </si>
  <si>
    <t>13,5- 16,5</t>
  </si>
  <si>
    <t>16,5- 19,5</t>
  </si>
  <si>
    <t>19,5- 22,5</t>
  </si>
  <si>
    <t>22,5- 25,5</t>
  </si>
  <si>
    <t>25,5- 28,5</t>
  </si>
  <si>
    <t>На уровне значимости 0,05 проверить гипотезу о том,</t>
  </si>
  <si>
    <t xml:space="preserve"> что генеральная совокупность (средний удой коров всей фермы) распределена  нормально</t>
  </si>
  <si>
    <r>
      <t>К-во поврежд.изд. в контейнере x</t>
    </r>
    <r>
      <rPr>
        <b/>
        <i/>
        <vertAlign val="subscript"/>
        <sz val="14"/>
        <color theme="1"/>
        <rFont val="Times New Roman"/>
        <family val="1"/>
        <charset val="204"/>
      </rPr>
      <t>i</t>
    </r>
    <r>
      <rPr>
        <b/>
        <i/>
        <sz val="14"/>
        <color theme="1"/>
        <rFont val="Times New Roman"/>
        <family val="1"/>
        <charset val="204"/>
      </rPr>
      <t>, шт.</t>
    </r>
  </si>
  <si>
    <r>
      <t>Число контейнеров  n</t>
    </r>
    <r>
      <rPr>
        <b/>
        <i/>
        <vertAlign val="subscript"/>
        <sz val="14"/>
        <color theme="1"/>
        <rFont val="Times New Roman"/>
        <family val="1"/>
        <charset val="204"/>
      </rPr>
      <t xml:space="preserve">i, </t>
    </r>
    <r>
      <rPr>
        <b/>
        <i/>
        <sz val="14"/>
        <color theme="1"/>
        <rFont val="Times New Roman"/>
        <family val="1"/>
        <charset val="204"/>
      </rPr>
      <t>шт.</t>
    </r>
  </si>
  <si>
    <r>
      <t>С помощью критерия согласия Пирсона на уровне значимости 0,05 проверить гипотезу:</t>
    </r>
    <r>
      <rPr>
        <sz val="14"/>
        <color theme="1"/>
        <rFont val="Times New Roman"/>
        <family val="1"/>
        <charset val="204"/>
      </rPr>
      <t/>
    </r>
  </si>
  <si>
    <t xml:space="preserve"> случайная величина X (число повреждённых изделий)  распределена по закону Пуассона</t>
  </si>
  <si>
    <t>Ф(ty)=</t>
  </si>
  <si>
    <t>ty=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</si>
</sst>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vertAlign val="subscript"/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sz val="16"/>
      <color theme="1"/>
      <name val="Times New Roman"/>
      <family val="1"/>
      <charset val="204"/>
    </font>
    <font>
      <b/>
      <i/>
      <sz val="16"/>
      <color theme="1"/>
      <name val="Times New Roman"/>
      <family val="1"/>
      <charset val="204"/>
    </font>
    <font>
      <b/>
      <i/>
      <vertAlign val="subscript"/>
      <sz val="16"/>
      <color theme="1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6"/>
      <color theme="1"/>
      <name val="Calibri"/>
      <family val="2"/>
      <charset val="204"/>
    </font>
    <font>
      <b/>
      <i/>
      <sz val="14"/>
      <color theme="1"/>
      <name val="Times New Roman"/>
      <family val="1"/>
      <charset val="204"/>
    </font>
    <font>
      <b/>
      <i/>
      <vertAlign val="subscript"/>
      <sz val="14"/>
      <color theme="1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b/>
      <i/>
      <vertAlign val="subscript"/>
      <sz val="20"/>
      <color theme="1"/>
      <name val="Times New Roman"/>
      <family val="1"/>
      <charset val="204"/>
    </font>
    <font>
      <b/>
      <sz val="20"/>
      <color theme="3"/>
      <name val="Times New Roman"/>
      <family val="1"/>
      <charset val="204"/>
    </font>
    <font>
      <sz val="11"/>
      <color theme="3"/>
      <name val="Calibri"/>
      <family val="2"/>
      <scheme val="minor"/>
    </font>
    <font>
      <b/>
      <sz val="22"/>
      <color theme="3"/>
      <name val="Times New Roman"/>
      <family val="1"/>
      <charset val="204"/>
    </font>
    <font>
      <b/>
      <sz val="22"/>
      <color theme="3"/>
      <name val="Calibri"/>
      <family val="2"/>
      <charset val="204"/>
    </font>
    <font>
      <sz val="22"/>
      <color theme="3"/>
      <name val="Calibri"/>
      <family val="2"/>
      <scheme val="minor"/>
    </font>
    <font>
      <b/>
      <i/>
      <sz val="22"/>
      <color theme="3"/>
      <name val="Times New Roman"/>
      <family val="1"/>
      <charset val="204"/>
    </font>
    <font>
      <b/>
      <i/>
      <vertAlign val="subscript"/>
      <sz val="22"/>
      <color theme="3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b/>
      <i/>
      <sz val="20"/>
      <color theme="3"/>
      <name val="Times New Roman"/>
      <family val="1"/>
      <charset val="204"/>
    </font>
    <font>
      <b/>
      <i/>
      <vertAlign val="subscript"/>
      <sz val="20"/>
      <color theme="3"/>
      <name val="Times New Roman"/>
      <family val="1"/>
      <charset val="204"/>
    </font>
    <font>
      <b/>
      <i/>
      <sz val="22"/>
      <color theme="1"/>
      <name val="Times New Roman"/>
      <family val="1"/>
      <charset val="204"/>
    </font>
    <font>
      <b/>
      <i/>
      <vertAlign val="subscript"/>
      <sz val="22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22"/>
      <color theme="1"/>
      <name val="Calibri"/>
      <family val="2"/>
      <charset val="204"/>
    </font>
    <font>
      <i/>
      <sz val="12"/>
      <color rgb="FF000000"/>
      <name val="Arial"/>
      <family val="2"/>
      <charset val="204"/>
    </font>
    <font>
      <b/>
      <i/>
      <sz val="18"/>
      <color rgb="FF0070C0"/>
      <name val="Times New Roman"/>
      <family val="1"/>
      <charset val="204"/>
    </font>
    <font>
      <sz val="14"/>
      <color theme="1"/>
      <name val="Calibri"/>
      <family val="2"/>
      <charset val="204"/>
    </font>
    <font>
      <b/>
      <i/>
      <vertAlign val="superscript"/>
      <sz val="14"/>
      <color theme="1"/>
      <name val="Times New Roman"/>
      <family val="1"/>
      <charset val="204"/>
    </font>
    <font>
      <b/>
      <sz val="20"/>
      <color rgb="FF0070C0"/>
      <name val="Times New Roman"/>
      <family val="1"/>
      <charset val="204"/>
    </font>
    <font>
      <b/>
      <i/>
      <sz val="20"/>
      <color rgb="FFC00000"/>
      <name val="Times New Roman"/>
      <family val="1"/>
      <charset val="204"/>
    </font>
    <font>
      <b/>
      <sz val="14"/>
      <color rgb="FF0070C0"/>
      <name val="Times New Roman"/>
      <family val="1"/>
      <charset val="204"/>
    </font>
    <font>
      <b/>
      <vertAlign val="superscript"/>
      <sz val="14"/>
      <color rgb="FF0070C0"/>
      <name val="Times New Roman"/>
      <family val="1"/>
      <charset val="204"/>
    </font>
    <font>
      <b/>
      <i/>
      <sz val="14"/>
      <color rgb="FFC00000"/>
      <name val="Times New Roman"/>
      <family val="1"/>
      <charset val="204"/>
    </font>
    <font>
      <b/>
      <i/>
      <vertAlign val="superscript"/>
      <sz val="14"/>
      <color rgb="FFC00000"/>
      <name val="Times New Roman"/>
      <family val="1"/>
      <charset val="204"/>
    </font>
    <font>
      <b/>
      <i/>
      <sz val="20"/>
      <color rgb="FF7030A0"/>
      <name val="Times New Roman"/>
      <family val="1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8"/>
      <color rgb="FF0070C0"/>
      <name val="Times New Roman"/>
      <family val="1"/>
      <charset val="204"/>
    </font>
    <font>
      <b/>
      <i/>
      <sz val="20"/>
      <color rgb="FF00B0F0"/>
      <name val="Times New Roman"/>
      <family val="1"/>
      <charset val="204"/>
    </font>
    <font>
      <b/>
      <i/>
      <vertAlign val="subscript"/>
      <sz val="20"/>
      <color rgb="FF00B0F0"/>
      <name val="Times New Roman"/>
      <family val="1"/>
      <charset val="204"/>
    </font>
    <font>
      <b/>
      <sz val="20"/>
      <color rgb="FF00B0F0"/>
      <name val="Times New Roman"/>
      <family val="1"/>
      <charset val="204"/>
    </font>
    <font>
      <b/>
      <i/>
      <vertAlign val="subscript"/>
      <sz val="20"/>
      <color rgb="FF7030A0"/>
      <name val="Times New Roman"/>
      <family val="1"/>
      <charset val="204"/>
    </font>
    <font>
      <b/>
      <sz val="18"/>
      <color rgb="FF7030A0"/>
      <name val="Times New Roman"/>
      <family val="1"/>
      <charset val="204"/>
    </font>
    <font>
      <b/>
      <sz val="20"/>
      <color rgb="FF7030A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4"/>
      <color indexed="60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4"/>
      <color indexed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vertAlign val="subscript"/>
      <sz val="14"/>
      <name val="Times New Roman"/>
      <family val="1"/>
      <charset val="204"/>
    </font>
    <font>
      <b/>
      <sz val="18"/>
      <color rgb="FFC00000"/>
      <name val="Times New Roman"/>
      <family val="1"/>
      <charset val="204"/>
    </font>
    <font>
      <b/>
      <i/>
      <vertAlign val="superscript"/>
      <sz val="14"/>
      <name val="Times New Roman"/>
      <family val="1"/>
      <charset val="204"/>
    </font>
    <font>
      <sz val="18"/>
      <color rgb="FFC00000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theme="1"/>
      <name val="Calibri"/>
      <family val="2"/>
      <charset val="204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0"/>
      <name val="Times New Roman"/>
      <family val="1"/>
      <charset val="204"/>
    </font>
    <font>
      <b/>
      <sz val="20"/>
      <color rgb="FFC00000"/>
      <name val="Times New Roman"/>
      <family val="1"/>
      <charset val="204"/>
    </font>
    <font>
      <b/>
      <sz val="14"/>
      <color rgb="FFC00000"/>
      <name val="Times New Roman"/>
      <family val="1"/>
      <charset val="204"/>
    </font>
    <font>
      <b/>
      <sz val="14"/>
      <color rgb="FF00B050"/>
      <name val="Times New Roman"/>
      <family val="1"/>
      <charset val="204"/>
    </font>
    <font>
      <b/>
      <sz val="20"/>
      <color rgb="FF00B050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8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i/>
      <sz val="14"/>
      <color rgb="FF0070C0"/>
      <name val="Times New Roman"/>
      <family val="1"/>
      <charset val="204"/>
    </font>
    <font>
      <b/>
      <i/>
      <sz val="14"/>
      <color rgb="FF7030A0"/>
      <name val="Times New Roman"/>
      <family val="1"/>
      <charset val="204"/>
    </font>
    <font>
      <b/>
      <i/>
      <sz val="22"/>
      <color rgb="FFC00000"/>
      <name val="Times New Roman"/>
      <family val="1"/>
      <charset val="204"/>
    </font>
    <font>
      <b/>
      <i/>
      <vertAlign val="superscript"/>
      <sz val="22"/>
      <color rgb="FFC00000"/>
      <name val="Times New Roman"/>
      <family val="1"/>
      <charset val="204"/>
    </font>
    <font>
      <b/>
      <i/>
      <vertAlign val="subscript"/>
      <sz val="22"/>
      <color rgb="FFC00000"/>
      <name val="Times New Roman"/>
      <family val="1"/>
      <charset val="204"/>
    </font>
    <font>
      <sz val="22"/>
      <color rgb="FFC00000"/>
      <name val="Times New Roman"/>
      <family val="1"/>
      <charset val="204"/>
    </font>
    <font>
      <b/>
      <i/>
      <sz val="20"/>
      <color rgb="FF0070C0"/>
      <name val="Times New Roman"/>
      <family val="1"/>
      <charset val="204"/>
    </font>
    <font>
      <sz val="20"/>
      <color rgb="FFC0000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6"/>
      <color rgb="FF00B050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i/>
      <sz val="11"/>
      <color theme="1"/>
      <name val="Calibri"/>
      <family val="2"/>
      <scheme val="minor"/>
    </font>
    <font>
      <b/>
      <sz val="16"/>
      <color rgb="FF000000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b/>
      <vertAlign val="subscript"/>
      <sz val="16"/>
      <color theme="1"/>
      <name val="Times New Roman"/>
      <family val="1"/>
      <charset val="204"/>
    </font>
    <font>
      <b/>
      <sz val="14"/>
      <color theme="1"/>
      <name val="Cambria Math"/>
      <family val="1"/>
      <charset val="204"/>
    </font>
    <font>
      <b/>
      <sz val="18"/>
      <color theme="1"/>
      <name val="Cambria Math"/>
      <family val="1"/>
      <charset val="204"/>
    </font>
    <font>
      <b/>
      <sz val="16"/>
      <color theme="1"/>
      <name val="Cambria Math"/>
      <family val="1"/>
      <charset val="204"/>
    </font>
    <font>
      <b/>
      <i/>
      <sz val="16"/>
      <color theme="1"/>
      <name val="Cambria Math"/>
      <family val="1"/>
      <charset val="204"/>
    </font>
    <font>
      <vertAlign val="superscript"/>
      <sz val="20"/>
      <color theme="1"/>
      <name val="Times New Roman"/>
      <family val="1"/>
      <charset val="204"/>
    </font>
    <font>
      <b/>
      <sz val="20"/>
      <color theme="1"/>
      <name val="Calibri"/>
      <family val="2"/>
      <charset val="204"/>
    </font>
    <font>
      <b/>
      <sz val="22"/>
      <color theme="1"/>
      <name val="Calibri"/>
      <family val="2"/>
      <charset val="204"/>
    </font>
    <font>
      <b/>
      <vertAlign val="superscript"/>
      <sz val="18"/>
      <color theme="1"/>
      <name val="Cambria Math"/>
      <family val="1"/>
      <charset val="204"/>
    </font>
    <font>
      <b/>
      <vertAlign val="subscript"/>
      <sz val="18"/>
      <color theme="1"/>
      <name val="Cambria Math"/>
      <family val="1"/>
      <charset val="204"/>
    </font>
    <font>
      <b/>
      <i/>
      <sz val="18"/>
      <color theme="1"/>
      <name val="Times New Roman"/>
      <family val="1"/>
      <charset val="204"/>
    </font>
    <font>
      <b/>
      <i/>
      <vertAlign val="subscript"/>
      <sz val="18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4" fillId="0" borderId="0"/>
    <xf numFmtId="0" fontId="68" fillId="0" borderId="0" applyNumberFormat="0" applyFill="0" applyBorder="0" applyAlignment="0" applyProtection="0"/>
  </cellStyleXfs>
  <cellXfs count="290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2" fontId="4" fillId="0" borderId="4" xfId="0" applyNumberFormat="1" applyFont="1" applyBorder="1" applyAlignment="1">
      <alignment vertical="center" wrapText="1"/>
    </xf>
    <xf numFmtId="0" fontId="2" fillId="0" borderId="5" xfId="0" applyFont="1" applyBorder="1"/>
    <xf numFmtId="164" fontId="2" fillId="0" borderId="5" xfId="0" applyNumberFormat="1" applyFont="1" applyBorder="1"/>
    <xf numFmtId="0" fontId="2" fillId="0" borderId="0" xfId="0" applyFont="1" applyBorder="1"/>
    <xf numFmtId="0" fontId="0" fillId="0" borderId="0" xfId="0" applyNumberFormat="1"/>
    <xf numFmtId="49" fontId="2" fillId="0" borderId="5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0" borderId="0" xfId="0" applyFont="1"/>
    <xf numFmtId="0" fontId="6" fillId="0" borderId="5" xfId="0" applyFont="1" applyBorder="1" applyAlignment="1">
      <alignment horizontal="right"/>
    </xf>
    <xf numFmtId="2" fontId="2" fillId="0" borderId="5" xfId="0" applyNumberFormat="1" applyFont="1" applyBorder="1"/>
    <xf numFmtId="0" fontId="8" fillId="0" borderId="0" xfId="0" applyFont="1"/>
    <xf numFmtId="0" fontId="8" fillId="0" borderId="5" xfId="0" applyFont="1" applyBorder="1"/>
    <xf numFmtId="0" fontId="0" fillId="0" borderId="5" xfId="0" applyBorder="1"/>
    <xf numFmtId="2" fontId="11" fillId="0" borderId="5" xfId="0" applyNumberFormat="1" applyFont="1" applyBorder="1"/>
    <xf numFmtId="0" fontId="12" fillId="0" borderId="0" xfId="0" applyFont="1"/>
    <xf numFmtId="0" fontId="9" fillId="0" borderId="5" xfId="0" applyFont="1" applyBorder="1"/>
    <xf numFmtId="0" fontId="12" fillId="0" borderId="5" xfId="0" applyFont="1" applyBorder="1"/>
    <xf numFmtId="0" fontId="12" fillId="0" borderId="0" xfId="0" applyFont="1" applyAlignment="1">
      <alignment horizontal="right"/>
    </xf>
    <xf numFmtId="0" fontId="6" fillId="0" borderId="0" xfId="0" applyFont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 wrapText="1"/>
    </xf>
    <xf numFmtId="0" fontId="20" fillId="0" borderId="5" xfId="0" applyFont="1" applyBorder="1" applyAlignment="1">
      <alignment vertical="top" wrapText="1"/>
    </xf>
    <xf numFmtId="0" fontId="14" fillId="0" borderId="5" xfId="0" applyFont="1" applyBorder="1"/>
    <xf numFmtId="0" fontId="18" fillId="0" borderId="5" xfId="0" applyFont="1" applyBorder="1"/>
    <xf numFmtId="0" fontId="6" fillId="0" borderId="5" xfId="0" applyFont="1" applyBorder="1"/>
    <xf numFmtId="0" fontId="23" fillId="0" borderId="6" xfId="0" applyFont="1" applyBorder="1"/>
    <xf numFmtId="0" fontId="18" fillId="0" borderId="5" xfId="0" applyFont="1" applyFill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30" fillId="0" borderId="5" xfId="0" applyFont="1" applyBorder="1" applyAlignment="1">
      <alignment horizontal="center" vertical="top" wrapText="1"/>
    </xf>
    <xf numFmtId="0" fontId="28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" fillId="0" borderId="5" xfId="0" applyFont="1" applyBorder="1" applyAlignment="1">
      <alignment horizontal="right"/>
    </xf>
    <xf numFmtId="0" fontId="36" fillId="0" borderId="0" xfId="0" applyFont="1"/>
    <xf numFmtId="0" fontId="37" fillId="0" borderId="0" xfId="0" applyFont="1" applyAlignment="1">
      <alignment vertical="center"/>
    </xf>
    <xf numFmtId="0" fontId="38" fillId="0" borderId="0" xfId="0" applyFont="1"/>
    <xf numFmtId="0" fontId="40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42" fillId="0" borderId="0" xfId="0" applyFont="1"/>
    <xf numFmtId="0" fontId="43" fillId="0" borderId="0" xfId="0" applyFont="1"/>
    <xf numFmtId="0" fontId="14" fillId="0" borderId="0" xfId="0" applyFont="1" applyBorder="1"/>
    <xf numFmtId="0" fontId="44" fillId="0" borderId="0" xfId="0" applyFont="1"/>
    <xf numFmtId="0" fontId="50" fillId="0" borderId="0" xfId="0" applyFont="1"/>
    <xf numFmtId="0" fontId="45" fillId="0" borderId="5" xfId="0" applyFont="1" applyBorder="1"/>
    <xf numFmtId="0" fontId="46" fillId="0" borderId="5" xfId="0" applyFont="1" applyBorder="1"/>
    <xf numFmtId="0" fontId="48" fillId="0" borderId="5" xfId="0" applyFont="1" applyBorder="1"/>
    <xf numFmtId="0" fontId="46" fillId="0" borderId="5" xfId="0" applyFont="1" applyBorder="1" applyAlignment="1">
      <alignment vertical="top"/>
    </xf>
    <xf numFmtId="0" fontId="42" fillId="0" borderId="5" xfId="0" applyFont="1" applyBorder="1" applyAlignment="1">
      <alignment horizontal="center"/>
    </xf>
    <xf numFmtId="0" fontId="51" fillId="0" borderId="5" xfId="0" applyFont="1" applyBorder="1"/>
    <xf numFmtId="0" fontId="51" fillId="0" borderId="9" xfId="0" applyFont="1" applyBorder="1"/>
    <xf numFmtId="0" fontId="52" fillId="0" borderId="0" xfId="0" applyFont="1"/>
    <xf numFmtId="0" fontId="53" fillId="0" borderId="0" xfId="0" applyFont="1"/>
    <xf numFmtId="0" fontId="44" fillId="0" borderId="0" xfId="1" applyFont="1"/>
    <xf numFmtId="0" fontId="55" fillId="0" borderId="0" xfId="0" applyFont="1"/>
    <xf numFmtId="0" fontId="55" fillId="0" borderId="0" xfId="1" applyFont="1"/>
    <xf numFmtId="0" fontId="56" fillId="0" borderId="0" xfId="0" applyFont="1"/>
    <xf numFmtId="0" fontId="44" fillId="2" borderId="0" xfId="0" applyFont="1" applyFill="1" applyAlignment="1">
      <alignment vertical="center"/>
    </xf>
    <xf numFmtId="0" fontId="57" fillId="0" borderId="0" xfId="0" applyFont="1"/>
    <xf numFmtId="0" fontId="56" fillId="0" borderId="0" xfId="0" applyFont="1" applyAlignment="1">
      <alignment vertical="center"/>
    </xf>
    <xf numFmtId="0" fontId="55" fillId="2" borderId="0" xfId="0" applyFont="1" applyFill="1"/>
    <xf numFmtId="0" fontId="58" fillId="0" borderId="0" xfId="0" applyFont="1"/>
    <xf numFmtId="0" fontId="55" fillId="0" borderId="0" xfId="0" applyFont="1" applyFill="1"/>
    <xf numFmtId="0" fontId="55" fillId="0" borderId="0" xfId="0" applyFont="1" applyFill="1" applyAlignment="1"/>
    <xf numFmtId="0" fontId="55" fillId="3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5" fillId="0" borderId="0" xfId="0" applyFont="1" applyFill="1" applyAlignment="1">
      <alignment horizontal="center" vertical="center"/>
    </xf>
    <xf numFmtId="0" fontId="55" fillId="2" borderId="5" xfId="0" applyFont="1" applyFill="1" applyBorder="1"/>
    <xf numFmtId="0" fontId="55" fillId="3" borderId="5" xfId="0" applyFont="1" applyFill="1" applyBorder="1"/>
    <xf numFmtId="0" fontId="55" fillId="4" borderId="5" xfId="0" applyFont="1" applyFill="1" applyBorder="1"/>
    <xf numFmtId="0" fontId="55" fillId="5" borderId="5" xfId="0" applyFont="1" applyFill="1" applyBorder="1"/>
    <xf numFmtId="0" fontId="55" fillId="0" borderId="5" xfId="0" applyFont="1" applyBorder="1"/>
    <xf numFmtId="0" fontId="55" fillId="0" borderId="0" xfId="0" applyFont="1" applyFill="1" applyBorder="1"/>
    <xf numFmtId="0" fontId="61" fillId="0" borderId="0" xfId="0" applyFont="1" applyFill="1"/>
    <xf numFmtId="0" fontId="2" fillId="0" borderId="0" xfId="0" applyFont="1" applyFill="1"/>
    <xf numFmtId="0" fontId="61" fillId="0" borderId="0" xfId="0" applyFont="1"/>
    <xf numFmtId="0" fontId="55" fillId="0" borderId="5" xfId="0" applyFont="1" applyFill="1" applyBorder="1"/>
    <xf numFmtId="164" fontId="55" fillId="4" borderId="5" xfId="0" applyNumberFormat="1" applyFont="1" applyFill="1" applyBorder="1" applyAlignment="1">
      <alignment horizontal="center" vertical="center"/>
    </xf>
    <xf numFmtId="0" fontId="55" fillId="3" borderId="5" xfId="0" applyFont="1" applyFill="1" applyBorder="1" applyAlignment="1">
      <alignment horizontal="center" vertical="center"/>
    </xf>
    <xf numFmtId="0" fontId="55" fillId="4" borderId="5" xfId="0" applyFont="1" applyFill="1" applyBorder="1" applyAlignment="1">
      <alignment horizontal="center" vertical="center"/>
    </xf>
    <xf numFmtId="0" fontId="58" fillId="0" borderId="5" xfId="0" applyFont="1" applyBorder="1"/>
    <xf numFmtId="0" fontId="55" fillId="5" borderId="5" xfId="0" applyFont="1" applyFill="1" applyBorder="1" applyAlignment="1">
      <alignment horizontal="center" vertical="center"/>
    </xf>
    <xf numFmtId="0" fontId="50" fillId="0" borderId="0" xfId="0" applyFont="1" applyFill="1"/>
    <xf numFmtId="0" fontId="55" fillId="0" borderId="0" xfId="0" applyFont="1" applyFill="1" applyAlignment="1">
      <alignment horizontal="right"/>
    </xf>
    <xf numFmtId="0" fontId="37" fillId="0" borderId="0" xfId="0" applyFont="1" applyFill="1"/>
    <xf numFmtId="0" fontId="63" fillId="0" borderId="0" xfId="0" applyFont="1"/>
    <xf numFmtId="0" fontId="64" fillId="0" borderId="0" xfId="0" applyFont="1" applyFill="1"/>
    <xf numFmtId="0" fontId="65" fillId="0" borderId="5" xfId="0" applyFont="1" applyBorder="1" applyAlignment="1">
      <alignment horizontal="right"/>
    </xf>
    <xf numFmtId="0" fontId="2" fillId="0" borderId="5" xfId="0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0" fontId="65" fillId="0" borderId="5" xfId="0" applyFont="1" applyBorder="1" applyAlignment="1">
      <alignment horizontal="center"/>
    </xf>
    <xf numFmtId="0" fontId="51" fillId="0" borderId="0" xfId="0" applyFont="1"/>
    <xf numFmtId="0" fontId="48" fillId="0" borderId="0" xfId="0" applyFont="1"/>
    <xf numFmtId="0" fontId="14" fillId="0" borderId="5" xfId="0" applyFont="1" applyBorder="1" applyAlignment="1">
      <alignment horizontal="center"/>
    </xf>
    <xf numFmtId="0" fontId="69" fillId="0" borderId="0" xfId="2" applyFont="1"/>
    <xf numFmtId="0" fontId="14" fillId="0" borderId="0" xfId="0" applyFont="1"/>
    <xf numFmtId="0" fontId="43" fillId="0" borderId="5" xfId="0" applyFont="1" applyBorder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 applyFill="1"/>
    <xf numFmtId="0" fontId="74" fillId="0" borderId="0" xfId="0" applyFont="1"/>
    <xf numFmtId="0" fontId="75" fillId="0" borderId="0" xfId="0" applyFont="1" applyFill="1"/>
    <xf numFmtId="0" fontId="76" fillId="0" borderId="0" xfId="0" applyFont="1" applyFill="1"/>
    <xf numFmtId="165" fontId="75" fillId="0" borderId="0" xfId="0" applyNumberFormat="1" applyFont="1" applyFill="1" applyAlignment="1">
      <alignment horizontal="left"/>
    </xf>
    <xf numFmtId="0" fontId="76" fillId="0" borderId="0" xfId="0" applyFont="1" applyFill="1" applyAlignment="1">
      <alignment horizontal="right"/>
    </xf>
    <xf numFmtId="0" fontId="76" fillId="0" borderId="0" xfId="0" applyFont="1" applyFill="1" applyAlignment="1">
      <alignment horizontal="left"/>
    </xf>
    <xf numFmtId="165" fontId="76" fillId="0" borderId="0" xfId="0" applyNumberFormat="1" applyFont="1" applyFill="1" applyAlignment="1">
      <alignment horizontal="left"/>
    </xf>
    <xf numFmtId="2" fontId="76" fillId="0" borderId="0" xfId="0" applyNumberFormat="1" applyFont="1" applyFill="1" applyAlignment="1">
      <alignment horizontal="left"/>
    </xf>
    <xf numFmtId="0" fontId="77" fillId="0" borderId="0" xfId="0" applyFont="1"/>
    <xf numFmtId="0" fontId="6" fillId="0" borderId="0" xfId="0" applyFont="1"/>
    <xf numFmtId="0" fontId="78" fillId="0" borderId="0" xfId="0" applyFont="1"/>
    <xf numFmtId="0" fontId="80" fillId="0" borderId="0" xfId="0" applyFont="1"/>
    <xf numFmtId="0" fontId="79" fillId="0" borderId="0" xfId="0" applyFont="1" applyAlignment="1">
      <alignment horizontal="right"/>
    </xf>
    <xf numFmtId="0" fontId="81" fillId="0" borderId="0" xfId="0" applyFont="1"/>
    <xf numFmtId="0" fontId="65" fillId="0" borderId="0" xfId="0" applyFont="1"/>
    <xf numFmtId="0" fontId="86" fillId="0" borderId="0" xfId="0" applyFont="1"/>
    <xf numFmtId="49" fontId="6" fillId="0" borderId="0" xfId="0" applyNumberFormat="1" applyFont="1" applyFill="1" applyBorder="1" applyAlignment="1">
      <alignment horizontal="center"/>
    </xf>
    <xf numFmtId="0" fontId="87" fillId="0" borderId="0" xfId="0" applyFont="1"/>
    <xf numFmtId="0" fontId="14" fillId="0" borderId="0" xfId="0" applyFont="1" applyAlignment="1">
      <alignment vertical="top"/>
    </xf>
    <xf numFmtId="0" fontId="7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5" xfId="0" applyFont="1" applyBorder="1" applyAlignment="1">
      <alignment horizontal="center"/>
    </xf>
    <xf numFmtId="0" fontId="87" fillId="0" borderId="5" xfId="0" applyFont="1" applyBorder="1"/>
    <xf numFmtId="0" fontId="14" fillId="0" borderId="0" xfId="0" applyFont="1" applyAlignment="1">
      <alignment horizontal="justify" vertical="center"/>
    </xf>
    <xf numFmtId="0" fontId="88" fillId="0" borderId="5" xfId="0" applyFont="1" applyBorder="1" applyAlignment="1">
      <alignment horizontal="right"/>
    </xf>
    <xf numFmtId="0" fontId="88" fillId="0" borderId="5" xfId="0" applyFont="1" applyBorder="1"/>
    <xf numFmtId="0" fontId="7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5" fillId="0" borderId="0" xfId="0" applyFont="1" applyAlignment="1">
      <alignment horizontal="right"/>
    </xf>
    <xf numFmtId="0" fontId="14" fillId="0" borderId="10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14" fillId="0" borderId="8" xfId="0" applyFont="1" applyBorder="1" applyAlignment="1">
      <alignment horizontal="center"/>
    </xf>
    <xf numFmtId="1" fontId="2" fillId="0" borderId="5" xfId="0" applyNumberFormat="1" applyFont="1" applyBorder="1"/>
    <xf numFmtId="0" fontId="14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" fontId="12" fillId="0" borderId="5" xfId="0" applyNumberFormat="1" applyFont="1" applyBorder="1"/>
    <xf numFmtId="0" fontId="12" fillId="0" borderId="5" xfId="0" applyFont="1" applyBorder="1" applyAlignment="1">
      <alignment horizontal="center"/>
    </xf>
    <xf numFmtId="164" fontId="91" fillId="0" borderId="5" xfId="0" applyNumberFormat="1" applyFont="1" applyBorder="1" applyAlignment="1">
      <alignment horizontal="right" vertical="center"/>
    </xf>
    <xf numFmtId="1" fontId="6" fillId="0" borderId="5" xfId="0" applyNumberFormat="1" applyFont="1" applyBorder="1"/>
    <xf numFmtId="0" fontId="36" fillId="0" borderId="5" xfId="0" applyFont="1" applyBorder="1" applyAlignment="1">
      <alignment horizontal="right"/>
    </xf>
    <xf numFmtId="0" fontId="36" fillId="0" borderId="5" xfId="0" applyFont="1" applyBorder="1"/>
    <xf numFmtId="0" fontId="51" fillId="0" borderId="5" xfId="0" applyFont="1" applyBorder="1" applyAlignment="1">
      <alignment horizontal="right"/>
    </xf>
    <xf numFmtId="0" fontId="37" fillId="0" borderId="0" xfId="0" applyFont="1"/>
    <xf numFmtId="0" fontId="14" fillId="0" borderId="17" xfId="0" applyFont="1" applyBorder="1" applyAlignment="1">
      <alignment horizontal="center" wrapText="1"/>
    </xf>
    <xf numFmtId="0" fontId="14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17" xfId="0" applyFont="1" applyBorder="1"/>
    <xf numFmtId="0" fontId="16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6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2" fontId="6" fillId="0" borderId="17" xfId="0" applyNumberFormat="1" applyFont="1" applyBorder="1"/>
    <xf numFmtId="0" fontId="96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wrapText="1"/>
    </xf>
    <xf numFmtId="0" fontId="97" fillId="0" borderId="17" xfId="0" applyFont="1" applyBorder="1" applyAlignment="1">
      <alignment horizontal="center" vertical="top" wrapText="1"/>
    </xf>
    <xf numFmtId="166" fontId="6" fillId="0" borderId="5" xfId="0" applyNumberFormat="1" applyFont="1" applyBorder="1"/>
    <xf numFmtId="2" fontId="6" fillId="0" borderId="5" xfId="0" applyNumberFormat="1" applyFont="1" applyBorder="1"/>
    <xf numFmtId="165" fontId="6" fillId="0" borderId="17" xfId="0" applyNumberFormat="1" applyFont="1" applyBorder="1"/>
    <xf numFmtId="0" fontId="6" fillId="0" borderId="22" xfId="0" applyFont="1" applyBorder="1" applyAlignment="1">
      <alignment horizontal="center" wrapText="1"/>
    </xf>
    <xf numFmtId="0" fontId="6" fillId="0" borderId="22" xfId="0" applyFont="1" applyBorder="1"/>
    <xf numFmtId="165" fontId="6" fillId="0" borderId="22" xfId="0" applyNumberFormat="1" applyFont="1" applyBorder="1"/>
    <xf numFmtId="0" fontId="12" fillId="0" borderId="18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5" xfId="0" applyFont="1" applyBorder="1" applyAlignment="1">
      <alignment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0" fillId="0" borderId="6" xfId="0" applyBorder="1"/>
    <xf numFmtId="165" fontId="12" fillId="0" borderId="5" xfId="0" applyNumberFormat="1" applyFont="1" applyBorder="1"/>
    <xf numFmtId="0" fontId="9" fillId="0" borderId="24" xfId="0" applyFont="1" applyBorder="1" applyAlignment="1">
      <alignment horizontal="center" vertical="top" wrapText="1"/>
    </xf>
    <xf numFmtId="0" fontId="9" fillId="0" borderId="23" xfId="0" applyFont="1" applyBorder="1" applyAlignment="1">
      <alignment horizontal="center" vertical="top" wrapText="1"/>
    </xf>
    <xf numFmtId="164" fontId="6" fillId="0" borderId="21" xfId="0" applyNumberFormat="1" applyFont="1" applyBorder="1"/>
    <xf numFmtId="164" fontId="6" fillId="0" borderId="17" xfId="0" applyNumberFormat="1" applyFont="1" applyBorder="1"/>
    <xf numFmtId="0" fontId="9" fillId="0" borderId="0" xfId="0" applyFont="1"/>
    <xf numFmtId="0" fontId="16" fillId="0" borderId="0" xfId="0" applyFont="1"/>
    <xf numFmtId="0" fontId="94" fillId="0" borderId="17" xfId="0" applyFont="1" applyBorder="1" applyAlignment="1">
      <alignment vertical="top"/>
    </xf>
    <xf numFmtId="1" fontId="6" fillId="0" borderId="17" xfId="0" applyNumberFormat="1" applyFont="1" applyBorder="1"/>
    <xf numFmtId="0" fontId="6" fillId="0" borderId="20" xfId="0" applyFont="1" applyFill="1" applyBorder="1"/>
    <xf numFmtId="0" fontId="9" fillId="0" borderId="17" xfId="0" applyFont="1" applyBorder="1" applyAlignment="1">
      <alignment horizontal="center"/>
    </xf>
    <xf numFmtId="0" fontId="28" fillId="0" borderId="0" xfId="0" applyFont="1"/>
    <xf numFmtId="0" fontId="95" fillId="0" borderId="17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2" fillId="0" borderId="17" xfId="0" applyFont="1" applyBorder="1"/>
    <xf numFmtId="0" fontId="103" fillId="0" borderId="24" xfId="0" applyFont="1" applyBorder="1" applyAlignment="1">
      <alignment horizontal="center" vertical="top" wrapText="1"/>
    </xf>
    <xf numFmtId="0" fontId="103" fillId="0" borderId="17" xfId="0" applyFont="1" applyBorder="1" applyAlignment="1">
      <alignment horizontal="center" vertical="top" wrapText="1"/>
    </xf>
    <xf numFmtId="0" fontId="6" fillId="0" borderId="28" xfId="0" applyFont="1" applyBorder="1"/>
    <xf numFmtId="1" fontId="6" fillId="0" borderId="31" xfId="0" applyNumberFormat="1" applyFont="1" applyBorder="1"/>
    <xf numFmtId="0" fontId="6" fillId="0" borderId="32" xfId="0" applyFont="1" applyBorder="1"/>
    <xf numFmtId="1" fontId="6" fillId="0" borderId="33" xfId="0" applyNumberFormat="1" applyFont="1" applyBorder="1"/>
    <xf numFmtId="1" fontId="6" fillId="0" borderId="34" xfId="0" applyNumberFormat="1" applyFont="1" applyBorder="1"/>
    <xf numFmtId="0" fontId="6" fillId="0" borderId="35" xfId="0" applyFont="1" applyBorder="1"/>
    <xf numFmtId="1" fontId="6" fillId="0" borderId="6" xfId="0" applyNumberFormat="1" applyFont="1" applyBorder="1"/>
    <xf numFmtId="1" fontId="6" fillId="0" borderId="36" xfId="0" applyNumberFormat="1" applyFont="1" applyBorder="1"/>
    <xf numFmtId="0" fontId="103" fillId="0" borderId="0" xfId="0" applyFont="1"/>
    <xf numFmtId="0" fontId="14" fillId="0" borderId="16" xfId="0" applyFont="1" applyBorder="1" applyAlignment="1">
      <alignment horizontal="center" wrapText="1"/>
    </xf>
    <xf numFmtId="0" fontId="14" fillId="0" borderId="29" xfId="0" applyFont="1" applyBorder="1" applyAlignment="1">
      <alignment horizontal="center" wrapText="1"/>
    </xf>
    <xf numFmtId="1" fontId="0" fillId="0" borderId="0" xfId="0" applyNumberForma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0" fillId="0" borderId="5" xfId="0" applyFont="1" applyBorder="1" applyAlignment="1">
      <alignment horizontal="right" vertical="top" wrapText="1"/>
    </xf>
    <xf numFmtId="0" fontId="22" fillId="0" borderId="5" xfId="0" applyFont="1" applyBorder="1" applyAlignment="1">
      <alignment vertical="top" wrapText="1"/>
    </xf>
    <xf numFmtId="0" fontId="19" fillId="0" borderId="5" xfId="0" applyFont="1" applyBorder="1" applyAlignment="1"/>
    <xf numFmtId="0" fontId="26" fillId="0" borderId="5" xfId="0" applyFont="1" applyBorder="1" applyAlignment="1"/>
    <xf numFmtId="0" fontId="2" fillId="0" borderId="5" xfId="0" applyFont="1" applyBorder="1" applyAlignment="1"/>
    <xf numFmtId="0" fontId="2" fillId="0" borderId="7" xfId="0" applyFont="1" applyBorder="1" applyAlignment="1"/>
    <xf numFmtId="0" fontId="0" fillId="0" borderId="8" xfId="0" applyBorder="1" applyAlignment="1"/>
    <xf numFmtId="0" fontId="56" fillId="0" borderId="5" xfId="1" applyFont="1" applyBorder="1" applyAlignment="1">
      <alignment vertical="center"/>
    </xf>
    <xf numFmtId="0" fontId="56" fillId="0" borderId="5" xfId="0" applyFont="1" applyBorder="1" applyAlignment="1">
      <alignment vertical="center"/>
    </xf>
    <xf numFmtId="0" fontId="56" fillId="0" borderId="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55" fillId="0" borderId="5" xfId="0" applyFont="1" applyFill="1" applyBorder="1" applyAlignment="1"/>
    <xf numFmtId="0" fontId="55" fillId="4" borderId="5" xfId="0" applyFont="1" applyFill="1" applyBorder="1" applyAlignment="1">
      <alignment horizontal="center" vertical="center"/>
    </xf>
    <xf numFmtId="0" fontId="55" fillId="5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5" fillId="0" borderId="0" xfId="0" applyFont="1" applyAlignment="1"/>
    <xf numFmtId="0" fontId="2" fillId="0" borderId="0" xfId="0" applyFont="1" applyAlignment="1"/>
    <xf numFmtId="0" fontId="55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5" fillId="0" borderId="7" xfId="0" applyFont="1" applyBorder="1" applyAlignment="1">
      <alignment horizontal="right"/>
    </xf>
    <xf numFmtId="0" fontId="67" fillId="0" borderId="8" xfId="0" applyFont="1" applyBorder="1" applyAlignment="1">
      <alignment horizontal="right"/>
    </xf>
    <xf numFmtId="0" fontId="14" fillId="0" borderId="5" xfId="0" applyFont="1" applyBorder="1" applyAlignment="1">
      <alignment horizontal="center" wrapText="1"/>
    </xf>
    <xf numFmtId="0" fontId="0" fillId="0" borderId="5" xfId="0" applyBorder="1" applyAlignment="1">
      <alignment wrapText="1"/>
    </xf>
    <xf numFmtId="0" fontId="14" fillId="0" borderId="5" xfId="0" applyFont="1" applyBorder="1" applyAlignment="1">
      <alignment horizontal="center"/>
    </xf>
    <xf numFmtId="0" fontId="90" fillId="0" borderId="5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/>
    <xf numFmtId="0" fontId="9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9" fillId="0" borderId="7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92" fillId="0" borderId="5" xfId="0" applyFont="1" applyBorder="1" applyAlignment="1">
      <alignment wrapText="1"/>
    </xf>
    <xf numFmtId="0" fontId="92" fillId="0" borderId="5" xfId="0" applyFont="1" applyBorder="1" applyAlignment="1">
      <alignment horizontal="center"/>
    </xf>
    <xf numFmtId="0" fontId="92" fillId="0" borderId="5" xfId="0" applyFont="1" applyBorder="1" applyAlignment="1"/>
    <xf numFmtId="0" fontId="92" fillId="0" borderId="11" xfId="0" applyFont="1" applyBorder="1" applyAlignment="1">
      <alignment horizontal="center"/>
    </xf>
    <xf numFmtId="0" fontId="92" fillId="0" borderId="8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90" fillId="0" borderId="13" xfId="0" applyFont="1" applyBorder="1" applyAlignment="1">
      <alignment horizontal="center"/>
    </xf>
    <xf numFmtId="0" fontId="90" fillId="0" borderId="14" xfId="0" applyFont="1" applyBorder="1" applyAlignment="1">
      <alignment horizontal="center"/>
    </xf>
    <xf numFmtId="0" fontId="0" fillId="0" borderId="15" xfId="0" applyBorder="1" applyAlignment="1"/>
    <xf numFmtId="0" fontId="0" fillId="0" borderId="10" xfId="0" applyBorder="1" applyAlignment="1"/>
    <xf numFmtId="0" fontId="0" fillId="0" borderId="16" xfId="0" applyBorder="1" applyAlignment="1"/>
    <xf numFmtId="0" fontId="28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19" xfId="0" applyBorder="1" applyAlignment="1"/>
    <xf numFmtId="0" fontId="0" fillId="0" borderId="6" xfId="0" applyBorder="1" applyAlignment="1"/>
    <xf numFmtId="0" fontId="6" fillId="0" borderId="2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wrapText="1"/>
    </xf>
    <xf numFmtId="0" fontId="14" fillId="0" borderId="28" xfId="0" applyFont="1" applyBorder="1" applyAlignment="1">
      <alignment horizontal="center" wrapText="1"/>
    </xf>
    <xf numFmtId="0" fontId="92" fillId="0" borderId="28" xfId="0" applyFont="1" applyBorder="1" applyAlignment="1">
      <alignment wrapText="1"/>
    </xf>
    <xf numFmtId="0" fontId="14" fillId="0" borderId="26" xfId="0" applyFont="1" applyBorder="1" applyAlignment="1">
      <alignment horizontal="center"/>
    </xf>
    <xf numFmtId="0" fontId="92" fillId="0" borderId="26" xfId="0" applyFont="1" applyBorder="1" applyAlignment="1">
      <alignment horizontal="center"/>
    </xf>
    <xf numFmtId="0" fontId="92" fillId="0" borderId="26" xfId="0" applyFont="1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31" xfId="0" applyBorder="1" applyAlignment="1"/>
    <xf numFmtId="0" fontId="92" fillId="0" borderId="13" xfId="0" applyFont="1" applyBorder="1" applyAlignment="1">
      <alignment horizontal="center"/>
    </xf>
    <xf numFmtId="0" fontId="0" fillId="0" borderId="13" xfId="0" applyBorder="1" applyAlignment="1"/>
    <xf numFmtId="0" fontId="0" fillId="0" borderId="30" xfId="0" applyBorder="1" applyAlignment="1"/>
  </cellXfs>
  <cellStyles count="3">
    <cellStyle name="Гиперссылка" xfId="2" builtinId="8"/>
    <cellStyle name="Обычный" xfId="0" builtinId="0"/>
    <cellStyle name="Обычный_Лист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numRef>
              <c:f>Лист1!$A$2:$A$6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Лист1!$B$2:$B$6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001024"/>
        <c:axId val="348002944"/>
      </c:lineChart>
      <c:catAx>
        <c:axId val="34800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6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endParaRPr lang="ru-RU" i="1" baseline="-25000"/>
              </a:p>
            </c:rich>
          </c:tx>
          <c:layout>
            <c:manualLayout>
              <c:xMode val="edge"/>
              <c:yMode val="edge"/>
              <c:x val="0.92388298337707786"/>
              <c:y val="0.7836111111111111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8002944"/>
        <c:crosses val="autoZero"/>
        <c:auto val="1"/>
        <c:lblAlgn val="ctr"/>
        <c:lblOffset val="100"/>
        <c:noMultiLvlLbl val="0"/>
      </c:catAx>
      <c:valAx>
        <c:axId val="348002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</a:t>
                </a:r>
                <a:r>
                  <a:rPr lang="en-US" sz="16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5.9770341207349073E-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8001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4.0645888013998252E-2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Лист1!$B$10</c:f>
              <c:strCache>
                <c:ptCount val="1"/>
                <c:pt idx="0">
                  <c:v>Wi</c:v>
                </c:pt>
              </c:strCache>
            </c:strRef>
          </c:tx>
          <c:marker>
            <c:symbol val="none"/>
          </c:marker>
          <c:cat>
            <c:numRef>
              <c:f>Лист1!$A$11:$A$14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cat>
          <c:val>
            <c:numRef>
              <c:f>Лист1!$B$11:$B$14</c:f>
              <c:numCache>
                <c:formatCode>0.00</c:formatCode>
                <c:ptCount val="4"/>
                <c:pt idx="0">
                  <c:v>0.12</c:v>
                </c:pt>
                <c:pt idx="1">
                  <c:v>0.2</c:v>
                </c:pt>
                <c:pt idx="2">
                  <c:v>0.32</c:v>
                </c:pt>
                <c:pt idx="3">
                  <c:v>0.24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8035328"/>
        <c:axId val="348037504"/>
      </c:lineChart>
      <c:catAx>
        <c:axId val="34803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8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x</a:t>
                </a:r>
                <a:r>
                  <a:rPr lang="en-US" sz="18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endParaRPr lang="ru-RU" sz="1800" i="1" baseline="-25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224247594050744"/>
              <c:y val="0.7652777777777777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8037504"/>
        <c:crosses val="autoZero"/>
        <c:auto val="1"/>
        <c:lblAlgn val="ctr"/>
        <c:lblOffset val="100"/>
        <c:noMultiLvlLbl val="0"/>
      </c:catAx>
      <c:valAx>
        <c:axId val="3480375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480353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Лист2!$D$20</c:f>
              <c:strCache>
                <c:ptCount val="1"/>
                <c:pt idx="0">
                  <c:v>wi</c:v>
                </c:pt>
              </c:strCache>
            </c:strRef>
          </c:tx>
          <c:invertIfNegative val="0"/>
          <c:cat>
            <c:numRef>
              <c:f>Лист2!$C$21:$C$25</c:f>
              <c:numCache>
                <c:formatCode>General</c:formatCode>
                <c:ptCount val="5"/>
                <c:pt idx="0">
                  <c:v>6.2</c:v>
                </c:pt>
                <c:pt idx="1">
                  <c:v>7.2</c:v>
                </c:pt>
                <c:pt idx="2">
                  <c:v>8.1999999999999993</c:v>
                </c:pt>
                <c:pt idx="3">
                  <c:v>9.1999999999999993</c:v>
                </c:pt>
                <c:pt idx="4">
                  <c:v>10.199999999999999</c:v>
                </c:pt>
              </c:numCache>
            </c:numRef>
          </c:cat>
          <c:val>
            <c:numRef>
              <c:f>Лист2!$D$21:$D$25</c:f>
              <c:numCache>
                <c:formatCode>0.00</c:formatCode>
                <c:ptCount val="5"/>
                <c:pt idx="0">
                  <c:v>0.23333333333333334</c:v>
                </c:pt>
                <c:pt idx="1">
                  <c:v>0.36666666666666664</c:v>
                </c:pt>
                <c:pt idx="2">
                  <c:v>0.2</c:v>
                </c:pt>
                <c:pt idx="3">
                  <c:v>0.13333333333333333</c:v>
                </c:pt>
                <c:pt idx="4">
                  <c:v>6.6666666666666666E-2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9684096"/>
        <c:axId val="349686016"/>
      </c:barChart>
      <c:catAx>
        <c:axId val="34968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Xi</a:t>
                </a:r>
              </a:p>
            </c:rich>
          </c:tx>
          <c:layout>
            <c:manualLayout>
              <c:xMode val="edge"/>
              <c:yMode val="edge"/>
              <c:x val="0.93682764654418194"/>
              <c:y val="0.8092359288422280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9686016"/>
        <c:crosses val="autoZero"/>
        <c:auto val="1"/>
        <c:lblAlgn val="ctr"/>
        <c:lblOffset val="100"/>
        <c:noMultiLvlLbl val="0"/>
      </c:catAx>
      <c:valAx>
        <c:axId val="3496860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Wii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1.3057378244386119E-2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crossAx val="349684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 b="1" i="1">
                <a:latin typeface="Times New Roman" panose="02020603050405020304" pitchFamily="18" charset="0"/>
                <a:cs typeface="Times New Roman" panose="02020603050405020304" pitchFamily="18" charset="0"/>
              </a:rPr>
              <a:t>w</a:t>
            </a:r>
            <a:r>
              <a:rPr lang="ru-RU" sz="2000" b="1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н</a:t>
            </a:r>
          </a:p>
        </c:rich>
      </c:tx>
      <c:layout>
        <c:manualLayout>
          <c:xMode val="edge"/>
          <c:yMode val="edge"/>
          <c:x val="4.274300087489067E-2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Лист2!$C$27</c:f>
              <c:strCache>
                <c:ptCount val="1"/>
                <c:pt idx="0">
                  <c:v>wн</c:v>
                </c:pt>
              </c:strCache>
            </c:strRef>
          </c:tx>
          <c:marker>
            <c:symbol val="none"/>
          </c:marker>
          <c:cat>
            <c:numRef>
              <c:f>Лист2!$B$28:$B$33</c:f>
              <c:numCache>
                <c:formatCode>General</c:formatCode>
                <c:ptCount val="6"/>
                <c:pt idx="0">
                  <c:v>5.7</c:v>
                </c:pt>
                <c:pt idx="1">
                  <c:v>6.7</c:v>
                </c:pt>
                <c:pt idx="2">
                  <c:v>7.7</c:v>
                </c:pt>
                <c:pt idx="3">
                  <c:v>8.6999999999999993</c:v>
                </c:pt>
                <c:pt idx="4">
                  <c:v>9.6999999999999993</c:v>
                </c:pt>
                <c:pt idx="5">
                  <c:v>10.7</c:v>
                </c:pt>
              </c:numCache>
            </c:numRef>
          </c:cat>
          <c:val>
            <c:numRef>
              <c:f>Лист2!$C$28:$C$33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0.23</c:v>
                </c:pt>
                <c:pt idx="2">
                  <c:v>0.6</c:v>
                </c:pt>
                <c:pt idx="3">
                  <c:v>0.8</c:v>
                </c:pt>
                <c:pt idx="4">
                  <c:v>0.93</c:v>
                </c:pt>
                <c:pt idx="5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515136"/>
        <c:axId val="349529600"/>
      </c:lineChart>
      <c:catAx>
        <c:axId val="349515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 sz="20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х</a:t>
                </a:r>
                <a:r>
                  <a:rPr lang="ru-RU" sz="2000" i="1" baseline="-25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прав</a:t>
                </a:r>
              </a:p>
            </c:rich>
          </c:tx>
          <c:layout>
            <c:manualLayout>
              <c:xMode val="edge"/>
              <c:yMode val="edge"/>
              <c:x val="0.85652187226596688"/>
              <c:y val="0.5833562992125984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9529600"/>
        <c:crosses val="autoZero"/>
        <c:auto val="1"/>
        <c:lblAlgn val="ctr"/>
        <c:lblOffset val="100"/>
        <c:noMultiLvlLbl val="0"/>
      </c:catAx>
      <c:valAx>
        <c:axId val="349529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95151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7.png"/><Relationship Id="rId1" Type="http://schemas.openxmlformats.org/officeDocument/2006/relationships/image" Target="../media/image9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wmf"/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wmf"/><Relationship Id="rId7" Type="http://schemas.openxmlformats.org/officeDocument/2006/relationships/image" Target="../media/image11.wmf"/><Relationship Id="rId2" Type="http://schemas.openxmlformats.org/officeDocument/2006/relationships/image" Target="../media/image6.wmf"/><Relationship Id="rId1" Type="http://schemas.openxmlformats.org/officeDocument/2006/relationships/image" Target="../media/image5.wmf"/><Relationship Id="rId6" Type="http://schemas.openxmlformats.org/officeDocument/2006/relationships/image" Target="../media/image10.wmf"/><Relationship Id="rId5" Type="http://schemas.openxmlformats.org/officeDocument/2006/relationships/image" Target="../media/image9.wmf"/><Relationship Id="rId4" Type="http://schemas.openxmlformats.org/officeDocument/2006/relationships/image" Target="../media/image8.w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wmf"/><Relationship Id="rId2" Type="http://schemas.openxmlformats.org/officeDocument/2006/relationships/image" Target="../media/image13.wmf"/><Relationship Id="rId1" Type="http://schemas.openxmlformats.org/officeDocument/2006/relationships/image" Target="../media/image12.wmf"/><Relationship Id="rId4" Type="http://schemas.openxmlformats.org/officeDocument/2006/relationships/image" Target="../media/image15.w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wmf"/><Relationship Id="rId2" Type="http://schemas.openxmlformats.org/officeDocument/2006/relationships/image" Target="../media/image17.wmf"/><Relationship Id="rId1" Type="http://schemas.openxmlformats.org/officeDocument/2006/relationships/image" Target="../media/image16.wmf"/><Relationship Id="rId6" Type="http://schemas.openxmlformats.org/officeDocument/2006/relationships/image" Target="../media/image21.emf"/><Relationship Id="rId5" Type="http://schemas.openxmlformats.org/officeDocument/2006/relationships/image" Target="../media/image20.emf"/><Relationship Id="rId4" Type="http://schemas.openxmlformats.org/officeDocument/2006/relationships/image" Target="../media/image19.wmf"/></Relationships>
</file>

<file path=xl/drawings/_rels/vmlDrawing7.vml.rels><?xml version="1.0" encoding="UTF-8" standalone="yes"?>
<Relationships xmlns="http://schemas.openxmlformats.org/package/2006/relationships"><Relationship Id="rId8" Type="http://schemas.openxmlformats.org/officeDocument/2006/relationships/image" Target="../media/image29.wmf"/><Relationship Id="rId13" Type="http://schemas.openxmlformats.org/officeDocument/2006/relationships/image" Target="../media/image34.wmf"/><Relationship Id="rId18" Type="http://schemas.openxmlformats.org/officeDocument/2006/relationships/image" Target="../media/image39.wmf"/><Relationship Id="rId26" Type="http://schemas.openxmlformats.org/officeDocument/2006/relationships/image" Target="../media/image47.wmf"/><Relationship Id="rId3" Type="http://schemas.openxmlformats.org/officeDocument/2006/relationships/image" Target="../media/image24.wmf"/><Relationship Id="rId21" Type="http://schemas.openxmlformats.org/officeDocument/2006/relationships/image" Target="../media/image42.wmf"/><Relationship Id="rId34" Type="http://schemas.openxmlformats.org/officeDocument/2006/relationships/image" Target="../media/image55.wmf"/><Relationship Id="rId7" Type="http://schemas.openxmlformats.org/officeDocument/2006/relationships/image" Target="../media/image28.wmf"/><Relationship Id="rId12" Type="http://schemas.openxmlformats.org/officeDocument/2006/relationships/image" Target="../media/image33.wmf"/><Relationship Id="rId17" Type="http://schemas.openxmlformats.org/officeDocument/2006/relationships/image" Target="../media/image38.wmf"/><Relationship Id="rId25" Type="http://schemas.openxmlformats.org/officeDocument/2006/relationships/image" Target="../media/image46.wmf"/><Relationship Id="rId33" Type="http://schemas.openxmlformats.org/officeDocument/2006/relationships/image" Target="../media/image54.wmf"/><Relationship Id="rId2" Type="http://schemas.openxmlformats.org/officeDocument/2006/relationships/image" Target="../media/image23.wmf"/><Relationship Id="rId16" Type="http://schemas.openxmlformats.org/officeDocument/2006/relationships/image" Target="../media/image37.wmf"/><Relationship Id="rId20" Type="http://schemas.openxmlformats.org/officeDocument/2006/relationships/image" Target="../media/image41.wmf"/><Relationship Id="rId29" Type="http://schemas.openxmlformats.org/officeDocument/2006/relationships/image" Target="../media/image50.wmf"/><Relationship Id="rId1" Type="http://schemas.openxmlformats.org/officeDocument/2006/relationships/image" Target="../media/image22.wmf"/><Relationship Id="rId6" Type="http://schemas.openxmlformats.org/officeDocument/2006/relationships/image" Target="../media/image27.emf"/><Relationship Id="rId11" Type="http://schemas.openxmlformats.org/officeDocument/2006/relationships/image" Target="../media/image32.wmf"/><Relationship Id="rId24" Type="http://schemas.openxmlformats.org/officeDocument/2006/relationships/image" Target="../media/image45.wmf"/><Relationship Id="rId32" Type="http://schemas.openxmlformats.org/officeDocument/2006/relationships/image" Target="../media/image53.wmf"/><Relationship Id="rId5" Type="http://schemas.openxmlformats.org/officeDocument/2006/relationships/image" Target="../media/image26.wmf"/><Relationship Id="rId15" Type="http://schemas.openxmlformats.org/officeDocument/2006/relationships/image" Target="../media/image36.wmf"/><Relationship Id="rId23" Type="http://schemas.openxmlformats.org/officeDocument/2006/relationships/image" Target="../media/image44.wmf"/><Relationship Id="rId28" Type="http://schemas.openxmlformats.org/officeDocument/2006/relationships/image" Target="../media/image49.wmf"/><Relationship Id="rId36" Type="http://schemas.openxmlformats.org/officeDocument/2006/relationships/image" Target="../media/image57.wmf"/><Relationship Id="rId10" Type="http://schemas.openxmlformats.org/officeDocument/2006/relationships/image" Target="../media/image31.wmf"/><Relationship Id="rId19" Type="http://schemas.openxmlformats.org/officeDocument/2006/relationships/image" Target="../media/image40.wmf"/><Relationship Id="rId31" Type="http://schemas.openxmlformats.org/officeDocument/2006/relationships/image" Target="../media/image52.wmf"/><Relationship Id="rId4" Type="http://schemas.openxmlformats.org/officeDocument/2006/relationships/image" Target="../media/image25.wmf"/><Relationship Id="rId9" Type="http://schemas.openxmlformats.org/officeDocument/2006/relationships/image" Target="../media/image30.wmf"/><Relationship Id="rId14" Type="http://schemas.openxmlformats.org/officeDocument/2006/relationships/image" Target="../media/image35.wmf"/><Relationship Id="rId22" Type="http://schemas.openxmlformats.org/officeDocument/2006/relationships/image" Target="../media/image43.wmf"/><Relationship Id="rId27" Type="http://schemas.openxmlformats.org/officeDocument/2006/relationships/image" Target="../media/image48.wmf"/><Relationship Id="rId30" Type="http://schemas.openxmlformats.org/officeDocument/2006/relationships/image" Target="../media/image51.wmf"/><Relationship Id="rId35" Type="http://schemas.openxmlformats.org/officeDocument/2006/relationships/image" Target="../media/image56.w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wmf"/><Relationship Id="rId2" Type="http://schemas.openxmlformats.org/officeDocument/2006/relationships/image" Target="../media/image59.emf"/><Relationship Id="rId1" Type="http://schemas.openxmlformats.org/officeDocument/2006/relationships/image" Target="../media/image58.wmf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62.wmf"/><Relationship Id="rId1" Type="http://schemas.openxmlformats.org/officeDocument/2006/relationships/image" Target="../media/image61.wmf"/></Relationships>
</file>

<file path=xl/drawings/_rels/vmlDrawing10.vml.rels><?xml version="1.0" encoding="UTF-8" standalone="yes"?>
<Relationships xmlns="http://schemas.openxmlformats.org/package/2006/relationships"><Relationship Id="rId2" Type="http://schemas.openxmlformats.org/officeDocument/2006/relationships/image" Target="../media/image63.emf"/><Relationship Id="rId1" Type="http://schemas.openxmlformats.org/officeDocument/2006/relationships/image" Target="../media/image61.w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wmf"/><Relationship Id="rId2" Type="http://schemas.openxmlformats.org/officeDocument/2006/relationships/image" Target="../media/image65.wmf"/><Relationship Id="rId1" Type="http://schemas.openxmlformats.org/officeDocument/2006/relationships/image" Target="../media/image64.wmf"/><Relationship Id="rId6" Type="http://schemas.openxmlformats.org/officeDocument/2006/relationships/image" Target="../media/image69.wmf"/><Relationship Id="rId5" Type="http://schemas.openxmlformats.org/officeDocument/2006/relationships/image" Target="../media/image68.wmf"/><Relationship Id="rId4" Type="http://schemas.openxmlformats.org/officeDocument/2006/relationships/image" Target="../media/image67.wmf"/></Relationships>
</file>

<file path=xl/drawings/_rels/vmlDrawing1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1.wmf"/><Relationship Id="rId1" Type="http://schemas.openxmlformats.org/officeDocument/2006/relationships/image" Target="../media/image70.w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74.emf"/><Relationship Id="rId2" Type="http://schemas.openxmlformats.org/officeDocument/2006/relationships/image" Target="../media/image73.emf"/><Relationship Id="rId1" Type="http://schemas.openxmlformats.org/officeDocument/2006/relationships/image" Target="../media/image72.emf"/><Relationship Id="rId6" Type="http://schemas.openxmlformats.org/officeDocument/2006/relationships/image" Target="../media/image77.emf"/><Relationship Id="rId5" Type="http://schemas.openxmlformats.org/officeDocument/2006/relationships/image" Target="../media/image76.wmf"/><Relationship Id="rId4" Type="http://schemas.openxmlformats.org/officeDocument/2006/relationships/image" Target="../media/image75.wmf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83.emf"/><Relationship Id="rId2" Type="http://schemas.openxmlformats.org/officeDocument/2006/relationships/image" Target="../media/image82.emf"/><Relationship Id="rId1" Type="http://schemas.openxmlformats.org/officeDocument/2006/relationships/image" Target="../media/image81.emf"/><Relationship Id="rId4" Type="http://schemas.openxmlformats.org/officeDocument/2006/relationships/image" Target="../media/image84.wmf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87.wmf"/><Relationship Id="rId1" Type="http://schemas.openxmlformats.org/officeDocument/2006/relationships/image" Target="../media/image86.w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88.w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89.wmf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92.emf"/><Relationship Id="rId2" Type="http://schemas.openxmlformats.org/officeDocument/2006/relationships/image" Target="../media/image91.emf"/><Relationship Id="rId1" Type="http://schemas.openxmlformats.org/officeDocument/2006/relationships/image" Target="../media/image90.emf"/><Relationship Id="rId4" Type="http://schemas.openxmlformats.org/officeDocument/2006/relationships/image" Target="../media/image93.emf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95.emf"/><Relationship Id="rId1" Type="http://schemas.openxmlformats.org/officeDocument/2006/relationships/image" Target="../media/image9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85725</xdr:rowOff>
    </xdr:from>
    <xdr:to>
      <xdr:col>8</xdr:col>
      <xdr:colOff>200025</xdr:colOff>
      <xdr:row>7</xdr:row>
      <xdr:rowOff>28575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9</xdr:row>
      <xdr:rowOff>209550</xdr:rowOff>
    </xdr:from>
    <xdr:to>
      <xdr:col>13</xdr:col>
      <xdr:colOff>361950</xdr:colOff>
      <xdr:row>23</xdr:row>
      <xdr:rowOff>114300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14</xdr:row>
      <xdr:rowOff>180975</xdr:rowOff>
    </xdr:from>
    <xdr:to>
      <xdr:col>14</xdr:col>
      <xdr:colOff>590550</xdr:colOff>
      <xdr:row>26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27</xdr:row>
      <xdr:rowOff>57150</xdr:rowOff>
    </xdr:from>
    <xdr:to>
      <xdr:col>12</xdr:col>
      <xdr:colOff>257175</xdr:colOff>
      <xdr:row>40</xdr:row>
      <xdr:rowOff>38100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9</xdr:row>
      <xdr:rowOff>28575</xdr:rowOff>
    </xdr:from>
    <xdr:to>
      <xdr:col>32</xdr:col>
      <xdr:colOff>28574</xdr:colOff>
      <xdr:row>11</xdr:row>
      <xdr:rowOff>126873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4953000" y="2400300"/>
          <a:ext cx="4457699" cy="612648"/>
        </a:xfrm>
        <a:prstGeom prst="wedgeRoundRectCallou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=МОДА.ОДН(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H7:AF7)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2</xdr:row>
      <xdr:rowOff>38100</xdr:rowOff>
    </xdr:from>
    <xdr:to>
      <xdr:col>25</xdr:col>
      <xdr:colOff>533399</xdr:colOff>
      <xdr:row>3</xdr:row>
      <xdr:rowOff>171450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3038475" y="485775"/>
          <a:ext cx="2257424" cy="323850"/>
        </a:xfrm>
        <a:prstGeom prst="wedgeRoundRectCallout">
          <a:avLst>
            <a:gd name="adj1" fmla="val 43346"/>
            <a:gd name="adj2" fmla="val -1345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=МОДА.ОДН(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A1:Y1)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9525</xdr:colOff>
      <xdr:row>7</xdr:row>
      <xdr:rowOff>104775</xdr:rowOff>
    </xdr:from>
    <xdr:to>
      <xdr:col>25</xdr:col>
      <xdr:colOff>552449</xdr:colOff>
      <xdr:row>9</xdr:row>
      <xdr:rowOff>47625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3057525" y="1571625"/>
          <a:ext cx="2257424" cy="323850"/>
        </a:xfrm>
        <a:prstGeom prst="wedgeRoundRectCallout">
          <a:avLst>
            <a:gd name="adj1" fmla="val 38705"/>
            <a:gd name="adj2" fmla="val -105147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=МЕДИАНА(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A7:Y7)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38100</xdr:colOff>
      <xdr:row>12</xdr:row>
      <xdr:rowOff>142875</xdr:rowOff>
    </xdr:from>
    <xdr:to>
      <xdr:col>25</xdr:col>
      <xdr:colOff>390524</xdr:colOff>
      <xdr:row>14</xdr:row>
      <xdr:rowOff>85725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3943350" y="2628900"/>
          <a:ext cx="2466974" cy="323850"/>
        </a:xfrm>
        <a:prstGeom prst="wedgeRoundRectCallout">
          <a:avLst>
            <a:gd name="adj1" fmla="val 43346"/>
            <a:gd name="adj2" fmla="val -1345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=МОДА.ОДН(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A12:Y12)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104775</xdr:colOff>
      <xdr:row>16</xdr:row>
      <xdr:rowOff>123825</xdr:rowOff>
    </xdr:from>
    <xdr:to>
      <xdr:col>25</xdr:col>
      <xdr:colOff>457199</xdr:colOff>
      <xdr:row>18</xdr:row>
      <xdr:rowOff>66675</xdr:rowOff>
    </xdr:to>
    <xdr:sp macro="" textlink="">
      <xdr:nvSpPr>
        <xdr:cNvPr id="6" name="Скругленная прямоугольная выноска 5"/>
        <xdr:cNvSpPr/>
      </xdr:nvSpPr>
      <xdr:spPr>
        <a:xfrm>
          <a:off x="4010025" y="3438525"/>
          <a:ext cx="2466974" cy="323850"/>
        </a:xfrm>
        <a:prstGeom prst="wedgeRoundRectCallout">
          <a:avLst>
            <a:gd name="adj1" fmla="val 38705"/>
            <a:gd name="adj2" fmla="val -105147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=МЕДИАНА(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A16:Y16)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26</xdr:col>
      <xdr:colOff>133350</xdr:colOff>
      <xdr:row>3</xdr:row>
      <xdr:rowOff>28575</xdr:rowOff>
    </xdr:from>
    <xdr:to>
      <xdr:col>29</xdr:col>
      <xdr:colOff>314325</xdr:colOff>
      <xdr:row>4</xdr:row>
      <xdr:rowOff>161925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6762750" y="742950"/>
          <a:ext cx="2105025" cy="323850"/>
        </a:xfrm>
        <a:prstGeom prst="wedgeRoundRectCallout">
          <a:avLst>
            <a:gd name="adj1" fmla="val -17317"/>
            <a:gd name="adj2" fmla="val -181618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A1:Y1))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0</xdr:row>
      <xdr:rowOff>228600</xdr:rowOff>
    </xdr:from>
    <xdr:to>
      <xdr:col>9</xdr:col>
      <xdr:colOff>714375</xdr:colOff>
      <xdr:row>1</xdr:row>
      <xdr:rowOff>76200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9372600" y="228600"/>
          <a:ext cx="523875" cy="323850"/>
        </a:xfrm>
        <a:prstGeom prst="wedgeRoundRectCallout">
          <a:avLst>
            <a:gd name="adj1" fmla="val -87099"/>
            <a:gd name="adj2" fmla="val 56617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=F2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190501</xdr:colOff>
      <xdr:row>1</xdr:row>
      <xdr:rowOff>142875</xdr:rowOff>
    </xdr:from>
    <xdr:to>
      <xdr:col>9</xdr:col>
      <xdr:colOff>1009651</xdr:colOff>
      <xdr:row>2</xdr:row>
      <xdr:rowOff>228600</xdr:rowOff>
    </xdr:to>
    <xdr:sp macro="" textlink="">
      <xdr:nvSpPr>
        <xdr:cNvPr id="3" name="Скругленная прямоугольная выноска 2"/>
        <xdr:cNvSpPr/>
      </xdr:nvSpPr>
      <xdr:spPr>
        <a:xfrm>
          <a:off x="9372601" y="619125"/>
          <a:ext cx="819150" cy="323850"/>
        </a:xfrm>
        <a:prstGeom prst="wedgeRoundRectCallout">
          <a:avLst>
            <a:gd name="adj1" fmla="val -75150"/>
            <a:gd name="adj2" fmla="val 18382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=I2+F3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228600</xdr:rowOff>
        </xdr:from>
        <xdr:to>
          <xdr:col>5</xdr:col>
          <xdr:colOff>57150</xdr:colOff>
          <xdr:row>11</xdr:row>
          <xdr:rowOff>66675</xdr:rowOff>
        </xdr:to>
        <xdr:sp macro="" textlink="">
          <xdr:nvSpPr>
            <xdr:cNvPr id="6151" name="Object 7" hidden="1">
              <a:extLst>
                <a:ext uri="{63B3BB69-23CF-44E3-9099-C40C66FF867C}">
                  <a14:compatExt spid="_x0000_s61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6</xdr:row>
      <xdr:rowOff>209550</xdr:rowOff>
    </xdr:from>
    <xdr:to>
      <xdr:col>6</xdr:col>
      <xdr:colOff>333375</xdr:colOff>
      <xdr:row>9</xdr:row>
      <xdr:rowOff>57150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562225" y="1685925"/>
          <a:ext cx="1943100" cy="590550"/>
        </a:xfrm>
        <a:prstGeom prst="wedgeRoundRectCallout">
          <a:avLst>
            <a:gd name="adj1" fmla="val -115853"/>
            <a:gd name="adj2" fmla="val 270410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B5:B14)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 среднее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19050</xdr:rowOff>
        </xdr:from>
        <xdr:to>
          <xdr:col>0</xdr:col>
          <xdr:colOff>590550</xdr:colOff>
          <xdr:row>16</xdr:row>
          <xdr:rowOff>38100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114299</xdr:colOff>
      <xdr:row>11</xdr:row>
      <xdr:rowOff>133348</xdr:rowOff>
    </xdr:from>
    <xdr:to>
      <xdr:col>6</xdr:col>
      <xdr:colOff>552450</xdr:colOff>
      <xdr:row>15</xdr:row>
      <xdr:rowOff>28574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2457449" y="2762248"/>
          <a:ext cx="2266951" cy="1047751"/>
        </a:xfrm>
        <a:prstGeom prst="wedgeRoundRectCallout">
          <a:avLst>
            <a:gd name="adj1" fmla="val -58954"/>
            <a:gd name="adj2" fmla="val 604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C5:C14)/10</a:t>
          </a:r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Ср. линейное отклонение</a:t>
          </a: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3</xdr:row>
      <xdr:rowOff>247650</xdr:rowOff>
    </xdr:from>
    <xdr:to>
      <xdr:col>6</xdr:col>
      <xdr:colOff>247650</xdr:colOff>
      <xdr:row>5</xdr:row>
      <xdr:rowOff>57150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2619375" y="942975"/>
          <a:ext cx="1800225" cy="342900"/>
        </a:xfrm>
        <a:prstGeom prst="wedgeRoundRectCallout">
          <a:avLst>
            <a:gd name="adj1" fmla="val -65588"/>
            <a:gd name="adj2" fmla="val 204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=ABS(B5-$B$15)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6</xdr:row>
      <xdr:rowOff>209550</xdr:rowOff>
    </xdr:from>
    <xdr:to>
      <xdr:col>6</xdr:col>
      <xdr:colOff>333375</xdr:colOff>
      <xdr:row>9</xdr:row>
      <xdr:rowOff>57150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562225" y="1647825"/>
          <a:ext cx="1943100" cy="561975"/>
        </a:xfrm>
        <a:prstGeom prst="wedgeRoundRectCallout">
          <a:avLst>
            <a:gd name="adj1" fmla="val -115853"/>
            <a:gd name="adj2" fmla="val 270410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B5:B14)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 среднее</a:t>
          </a:r>
        </a:p>
      </xdr:txBody>
    </xdr:sp>
    <xdr:clientData/>
  </xdr:twoCellAnchor>
  <xdr:twoCellAnchor>
    <xdr:from>
      <xdr:col>3</xdr:col>
      <xdr:colOff>114299</xdr:colOff>
      <xdr:row>12</xdr:row>
      <xdr:rowOff>76199</xdr:rowOff>
    </xdr:from>
    <xdr:to>
      <xdr:col>6</xdr:col>
      <xdr:colOff>552450</xdr:colOff>
      <xdr:row>15</xdr:row>
      <xdr:rowOff>66674</xdr:rowOff>
    </xdr:to>
    <xdr:sp macro="" textlink="">
      <xdr:nvSpPr>
        <xdr:cNvPr id="4" name="Скругленная прямоугольная выноска 3"/>
        <xdr:cNvSpPr/>
      </xdr:nvSpPr>
      <xdr:spPr>
        <a:xfrm>
          <a:off x="2457449" y="2971799"/>
          <a:ext cx="2266951" cy="904875"/>
        </a:xfrm>
        <a:prstGeom prst="wedgeRoundRectCallout">
          <a:avLst>
            <a:gd name="adj1" fmla="val -58954"/>
            <a:gd name="adj2" fmla="val 60459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ctr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=СУММ(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C5:C14)/10</a:t>
          </a:r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Выборочная</a:t>
          </a:r>
          <a:r>
            <a:rPr lang="ru-RU" sz="18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дисперсия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276225</xdr:colOff>
      <xdr:row>3</xdr:row>
      <xdr:rowOff>247650</xdr:rowOff>
    </xdr:from>
    <xdr:to>
      <xdr:col>6</xdr:col>
      <xdr:colOff>247650</xdr:colOff>
      <xdr:row>5</xdr:row>
      <xdr:rowOff>57150</xdr:rowOff>
    </xdr:to>
    <xdr:sp macro="" textlink="">
      <xdr:nvSpPr>
        <xdr:cNvPr id="5" name="Скругленная прямоугольная выноска 4"/>
        <xdr:cNvSpPr/>
      </xdr:nvSpPr>
      <xdr:spPr>
        <a:xfrm>
          <a:off x="2619375" y="942975"/>
          <a:ext cx="1800225" cy="314325"/>
        </a:xfrm>
        <a:prstGeom prst="wedgeRoundRectCallout">
          <a:avLst>
            <a:gd name="adj1" fmla="val -65588"/>
            <a:gd name="adj2" fmla="val 204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=ABS(B5-$B$15)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123826</xdr:rowOff>
    </xdr:from>
    <xdr:to>
      <xdr:col>6</xdr:col>
      <xdr:colOff>266700</xdr:colOff>
      <xdr:row>6</xdr:row>
      <xdr:rowOff>57151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495550" y="819151"/>
          <a:ext cx="1943100" cy="704850"/>
        </a:xfrm>
        <a:prstGeom prst="wedgeRoundRectCallout">
          <a:avLst>
            <a:gd name="adj1" fmla="val -109480"/>
            <a:gd name="adj2" fmla="val 320410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=СРЗНАЧ(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B5:B14)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 среднее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438150</xdr:rowOff>
        </xdr:from>
        <xdr:to>
          <xdr:col>1</xdr:col>
          <xdr:colOff>590550</xdr:colOff>
          <xdr:row>15</xdr:row>
          <xdr:rowOff>457200</xdr:rowOff>
        </xdr:to>
        <xdr:sp macro="" textlink=""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76200</xdr:colOff>
          <xdr:row>16</xdr:row>
          <xdr:rowOff>85725</xdr:rowOff>
        </xdr:from>
        <xdr:to>
          <xdr:col>4</xdr:col>
          <xdr:colOff>552450</xdr:colOff>
          <xdr:row>22</xdr:row>
          <xdr:rowOff>95250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171451</xdr:colOff>
      <xdr:row>14</xdr:row>
      <xdr:rowOff>371475</xdr:rowOff>
    </xdr:from>
    <xdr:to>
      <xdr:col>5</xdr:col>
      <xdr:colOff>342900</xdr:colOff>
      <xdr:row>15</xdr:row>
      <xdr:rowOff>295275</xdr:rowOff>
    </xdr:to>
    <xdr:sp macro="" textlink="">
      <xdr:nvSpPr>
        <xdr:cNvPr id="7" name="Скругленная прямоугольная выноска 6"/>
        <xdr:cNvSpPr/>
      </xdr:nvSpPr>
      <xdr:spPr>
        <a:xfrm>
          <a:off x="2514601" y="3743325"/>
          <a:ext cx="1390649" cy="361950"/>
        </a:xfrm>
        <a:prstGeom prst="wedgeRoundRectCallout">
          <a:avLst>
            <a:gd name="adj1" fmla="val 43356"/>
            <a:gd name="adj2" fmla="val 286413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=C16-B15^2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3</xdr:col>
          <xdr:colOff>1057275</xdr:colOff>
          <xdr:row>0</xdr:row>
          <xdr:rowOff>495300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0</xdr:row>
          <xdr:rowOff>0</xdr:rowOff>
        </xdr:from>
        <xdr:to>
          <xdr:col>4</xdr:col>
          <xdr:colOff>1076325</xdr:colOff>
          <xdr:row>0</xdr:row>
          <xdr:rowOff>485775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0</xdr:row>
          <xdr:rowOff>0</xdr:rowOff>
        </xdr:from>
        <xdr:to>
          <xdr:col>5</xdr:col>
          <xdr:colOff>1123950</xdr:colOff>
          <xdr:row>0</xdr:row>
          <xdr:rowOff>514350</xdr:rowOff>
        </xdr:to>
        <xdr:sp macro="" textlink="">
          <xdr:nvSpPr>
            <xdr:cNvPr id="9219" name="Object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6</xdr:col>
          <xdr:colOff>1152525</xdr:colOff>
          <xdr:row>0</xdr:row>
          <xdr:rowOff>457200</xdr:rowOff>
        </xdr:to>
        <xdr:sp macro="" textlink="">
          <xdr:nvSpPr>
            <xdr:cNvPr id="9220" name="Object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8</xdr:row>
          <xdr:rowOff>28575</xdr:rowOff>
        </xdr:from>
        <xdr:to>
          <xdr:col>0</xdr:col>
          <xdr:colOff>1466850</xdr:colOff>
          <xdr:row>8</xdr:row>
          <xdr:rowOff>857250</xdr:rowOff>
        </xdr:to>
        <xdr:sp macro="" textlink="">
          <xdr:nvSpPr>
            <xdr:cNvPr id="9222" name="Object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47625</xdr:colOff>
          <xdr:row>7</xdr:row>
          <xdr:rowOff>361950</xdr:rowOff>
        </xdr:from>
        <xdr:to>
          <xdr:col>5</xdr:col>
          <xdr:colOff>1876425</xdr:colOff>
          <xdr:row>8</xdr:row>
          <xdr:rowOff>847725</xdr:rowOff>
        </xdr:to>
        <xdr:sp macro="" textlink="">
          <xdr:nvSpPr>
            <xdr:cNvPr id="9225" name="Object 9" hidden="1">
              <a:extLst>
                <a:ext uri="{63B3BB69-23CF-44E3-9099-C40C66FF867C}">
                  <a14:compatExt spid="_x0000_s92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7</xdr:row>
          <xdr:rowOff>361950</xdr:rowOff>
        </xdr:from>
        <xdr:to>
          <xdr:col>3</xdr:col>
          <xdr:colOff>1266825</xdr:colOff>
          <xdr:row>8</xdr:row>
          <xdr:rowOff>809625</xdr:rowOff>
        </xdr:to>
        <xdr:sp macro="" textlink="">
          <xdr:nvSpPr>
            <xdr:cNvPr id="9226" name="Object 10" hidden="1">
              <a:extLst>
                <a:ext uri="{63B3BB69-23CF-44E3-9099-C40C66FF867C}">
                  <a14:compatExt spid="_x0000_s92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276225</xdr:colOff>
      <xdr:row>9</xdr:row>
      <xdr:rowOff>133350</xdr:rowOff>
    </xdr:from>
    <xdr:to>
      <xdr:col>1</xdr:col>
      <xdr:colOff>1381124</xdr:colOff>
      <xdr:row>9</xdr:row>
      <xdr:rowOff>476250</xdr:rowOff>
    </xdr:to>
    <xdr:sp macro="" textlink="">
      <xdr:nvSpPr>
        <xdr:cNvPr id="12" name="Скругленная прямоугольная выноска 11"/>
        <xdr:cNvSpPr/>
      </xdr:nvSpPr>
      <xdr:spPr>
        <a:xfrm>
          <a:off x="276225" y="3686175"/>
          <a:ext cx="2590799" cy="342900"/>
        </a:xfrm>
        <a:prstGeom prst="wedgeRoundRectCallout">
          <a:avLst>
            <a:gd name="adj1" fmla="val 18745"/>
            <a:gd name="adj2" fmla="val -13407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</a:t>
          </a:r>
          <a:r>
            <a:rPr lang="ru-RU" sz="18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средняя, мин.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104775</xdr:colOff>
      <xdr:row>9</xdr:row>
      <xdr:rowOff>104775</xdr:rowOff>
    </xdr:from>
    <xdr:to>
      <xdr:col>4</xdr:col>
      <xdr:colOff>1171575</xdr:colOff>
      <xdr:row>9</xdr:row>
      <xdr:rowOff>447675</xdr:rowOff>
    </xdr:to>
    <xdr:sp macro="" textlink="">
      <xdr:nvSpPr>
        <xdr:cNvPr id="13" name="Скругленная прямоугольная выноска 12"/>
        <xdr:cNvSpPr/>
      </xdr:nvSpPr>
      <xdr:spPr>
        <a:xfrm>
          <a:off x="3076575" y="3657600"/>
          <a:ext cx="3171825" cy="342900"/>
        </a:xfrm>
        <a:prstGeom prst="wedgeRoundRectCallout">
          <a:avLst>
            <a:gd name="adj1" fmla="val 31575"/>
            <a:gd name="adj2" fmla="val -13407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Ср. линейное отклонение, мин.</a:t>
          </a:r>
        </a:p>
      </xdr:txBody>
    </xdr:sp>
    <xdr:clientData/>
  </xdr:twoCellAnchor>
  <xdr:twoCellAnchor>
    <xdr:from>
      <xdr:col>5</xdr:col>
      <xdr:colOff>295274</xdr:colOff>
      <xdr:row>9</xdr:row>
      <xdr:rowOff>104775</xdr:rowOff>
    </xdr:from>
    <xdr:to>
      <xdr:col>6</xdr:col>
      <xdr:colOff>1095374</xdr:colOff>
      <xdr:row>9</xdr:row>
      <xdr:rowOff>447675</xdr:rowOff>
    </xdr:to>
    <xdr:sp macro="" textlink="">
      <xdr:nvSpPr>
        <xdr:cNvPr id="14" name="Скругленная прямоугольная выноска 13"/>
        <xdr:cNvSpPr/>
      </xdr:nvSpPr>
      <xdr:spPr>
        <a:xfrm>
          <a:off x="6591299" y="3657600"/>
          <a:ext cx="2771775" cy="342900"/>
        </a:xfrm>
        <a:prstGeom prst="wedgeRoundRectCallout">
          <a:avLst>
            <a:gd name="adj1" fmla="val 18745"/>
            <a:gd name="adj2" fmla="val -134071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Выбороч.</a:t>
          </a:r>
          <a:r>
            <a:rPr lang="ru-RU" sz="18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дисперсия, мин.</a:t>
          </a:r>
          <a:r>
            <a:rPr lang="ru-RU" sz="1800" baseline="30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2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15</xdr:row>
          <xdr:rowOff>0</xdr:rowOff>
        </xdr:from>
        <xdr:to>
          <xdr:col>3</xdr:col>
          <xdr:colOff>1009650</xdr:colOff>
          <xdr:row>16</xdr:row>
          <xdr:rowOff>76200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17</xdr:row>
          <xdr:rowOff>0</xdr:rowOff>
        </xdr:from>
        <xdr:to>
          <xdr:col>4</xdr:col>
          <xdr:colOff>781050</xdr:colOff>
          <xdr:row>18</xdr:row>
          <xdr:rowOff>66675</xdr:rowOff>
        </xdr:to>
        <xdr:sp macro="" textlink="">
          <xdr:nvSpPr>
            <xdr:cNvPr id="12290" name="Object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295275</xdr:colOff>
          <xdr:row>18</xdr:row>
          <xdr:rowOff>238125</xdr:rowOff>
        </xdr:from>
        <xdr:to>
          <xdr:col>4</xdr:col>
          <xdr:colOff>9525</xdr:colOff>
          <xdr:row>19</xdr:row>
          <xdr:rowOff>933450</xdr:rowOff>
        </xdr:to>
        <xdr:sp macro="" textlink="">
          <xdr:nvSpPr>
            <xdr:cNvPr id="12292" name="Object 4" hidden="1">
              <a:extLst>
                <a:ext uri="{63B3BB69-23CF-44E3-9099-C40C66FF867C}">
                  <a14:compatExt spid="_x0000_s122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866775</xdr:colOff>
          <xdr:row>19</xdr:row>
          <xdr:rowOff>1076325</xdr:rowOff>
        </xdr:from>
        <xdr:to>
          <xdr:col>2</xdr:col>
          <xdr:colOff>1362075</xdr:colOff>
          <xdr:row>22</xdr:row>
          <xdr:rowOff>142875</xdr:rowOff>
        </xdr:to>
        <xdr:sp macro="" textlink="">
          <xdr:nvSpPr>
            <xdr:cNvPr id="12293" name="Object 5" hidden="1">
              <a:extLst>
                <a:ext uri="{63B3BB69-23CF-44E3-9099-C40C66FF867C}">
                  <a14:compatExt spid="_x0000_s122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85725</xdr:colOff>
          <xdr:row>1</xdr:row>
          <xdr:rowOff>66675</xdr:rowOff>
        </xdr:from>
        <xdr:to>
          <xdr:col>8</xdr:col>
          <xdr:colOff>1123950</xdr:colOff>
          <xdr:row>1</xdr:row>
          <xdr:rowOff>419100</xdr:rowOff>
        </xdr:to>
        <xdr:sp macro="" textlink="">
          <xdr:nvSpPr>
            <xdr:cNvPr id="13313" name="Object 1" hidden="1">
              <a:extLst>
                <a:ext uri="{63B3BB69-23CF-44E3-9099-C40C66FF867C}">
                  <a14:compatExt spid="_x0000_s133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</xdr:row>
          <xdr:rowOff>38100</xdr:rowOff>
        </xdr:from>
        <xdr:to>
          <xdr:col>7</xdr:col>
          <xdr:colOff>1181100</xdr:colOff>
          <xdr:row>1</xdr:row>
          <xdr:rowOff>409575</xdr:rowOff>
        </xdr:to>
        <xdr:sp macro="" textlink="">
          <xdr:nvSpPr>
            <xdr:cNvPr id="13314" name="Object 2" hidden="1">
              <a:extLst>
                <a:ext uri="{63B3BB69-23CF-44E3-9099-C40C66FF867C}">
                  <a14:compatExt spid="_x0000_s1331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609600</xdr:colOff>
          <xdr:row>1</xdr:row>
          <xdr:rowOff>0</xdr:rowOff>
        </xdr:from>
        <xdr:to>
          <xdr:col>6</xdr:col>
          <xdr:colOff>1171575</xdr:colOff>
          <xdr:row>1</xdr:row>
          <xdr:rowOff>400050</xdr:rowOff>
        </xdr:to>
        <xdr:sp macro="" textlink="">
          <xdr:nvSpPr>
            <xdr:cNvPr id="13316" name="Object 4" hidden="1">
              <a:extLst>
                <a:ext uri="{63B3BB69-23CF-44E3-9099-C40C66FF867C}">
                  <a14:compatExt spid="_x0000_s133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600075</xdr:colOff>
          <xdr:row>7</xdr:row>
          <xdr:rowOff>38100</xdr:rowOff>
        </xdr:from>
        <xdr:to>
          <xdr:col>4</xdr:col>
          <xdr:colOff>542925</xdr:colOff>
          <xdr:row>7</xdr:row>
          <xdr:rowOff>371475</xdr:rowOff>
        </xdr:to>
        <xdr:sp macro="" textlink="">
          <xdr:nvSpPr>
            <xdr:cNvPr id="13319" name="Object 7" hidden="1">
              <a:extLst>
                <a:ext uri="{63B3BB69-23CF-44E3-9099-C40C66FF867C}">
                  <a14:compatExt spid="_x0000_s133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13</xdr:row>
          <xdr:rowOff>38100</xdr:rowOff>
        </xdr:from>
        <xdr:to>
          <xdr:col>3</xdr:col>
          <xdr:colOff>542925</xdr:colOff>
          <xdr:row>16</xdr:row>
          <xdr:rowOff>219075</xdr:rowOff>
        </xdr:to>
        <xdr:sp macro="" textlink="">
          <xdr:nvSpPr>
            <xdr:cNvPr id="13320" name="Object 8" hidden="1">
              <a:extLst>
                <a:ext uri="{63B3BB69-23CF-44E3-9099-C40C66FF867C}">
                  <a14:compatExt spid="_x0000_s1332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19050</xdr:colOff>
          <xdr:row>16</xdr:row>
          <xdr:rowOff>19050</xdr:rowOff>
        </xdr:from>
        <xdr:to>
          <xdr:col>7</xdr:col>
          <xdr:colOff>228600</xdr:colOff>
          <xdr:row>19</xdr:row>
          <xdr:rowOff>66675</xdr:rowOff>
        </xdr:to>
        <xdr:sp macro="" textlink="">
          <xdr:nvSpPr>
            <xdr:cNvPr id="13321" name="Object 9" hidden="1">
              <a:extLst>
                <a:ext uri="{63B3BB69-23CF-44E3-9099-C40C66FF867C}">
                  <a14:compatExt spid="_x0000_s133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161925</xdr:rowOff>
        </xdr:from>
        <xdr:to>
          <xdr:col>2</xdr:col>
          <xdr:colOff>0</xdr:colOff>
          <xdr:row>9</xdr:row>
          <xdr:rowOff>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7</xdr:row>
          <xdr:rowOff>180975</xdr:rowOff>
        </xdr:from>
        <xdr:to>
          <xdr:col>2</xdr:col>
          <xdr:colOff>0</xdr:colOff>
          <xdr:row>9</xdr:row>
          <xdr:rowOff>19050</xdr:rowOff>
        </xdr:to>
        <xdr:sp macro="" textlink="">
          <xdr:nvSpPr>
            <xdr:cNvPr id="15362" name="Object 2" hidden="1">
              <a:extLst>
                <a:ext uri="{63B3BB69-23CF-44E3-9099-C40C66FF867C}">
                  <a14:compatExt spid="_x0000_s153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200025</xdr:colOff>
          <xdr:row>15</xdr:row>
          <xdr:rowOff>9525</xdr:rowOff>
        </xdr:from>
        <xdr:to>
          <xdr:col>3</xdr:col>
          <xdr:colOff>590550</xdr:colOff>
          <xdr:row>16</xdr:row>
          <xdr:rowOff>0</xdr:rowOff>
        </xdr:to>
        <xdr:sp macro="" textlink="">
          <xdr:nvSpPr>
            <xdr:cNvPr id="15363" name="Object 3" hidden="1">
              <a:extLst>
                <a:ext uri="{63B3BB69-23CF-44E3-9099-C40C66FF867C}">
                  <a14:compatExt spid="_x0000_s153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161925</xdr:colOff>
          <xdr:row>16</xdr:row>
          <xdr:rowOff>9525</xdr:rowOff>
        </xdr:from>
        <xdr:to>
          <xdr:col>3</xdr:col>
          <xdr:colOff>581025</xdr:colOff>
          <xdr:row>17</xdr:row>
          <xdr:rowOff>9525</xdr:rowOff>
        </xdr:to>
        <xdr:sp macro="" textlink="">
          <xdr:nvSpPr>
            <xdr:cNvPr id="15364" name="Object 4" hidden="1">
              <a:extLst>
                <a:ext uri="{63B3BB69-23CF-44E3-9099-C40C66FF867C}">
                  <a14:compatExt spid="_x0000_s153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171450</xdr:colOff>
          <xdr:row>17</xdr:row>
          <xdr:rowOff>28575</xdr:rowOff>
        </xdr:from>
        <xdr:to>
          <xdr:col>3</xdr:col>
          <xdr:colOff>600075</xdr:colOff>
          <xdr:row>18</xdr:row>
          <xdr:rowOff>28575</xdr:rowOff>
        </xdr:to>
        <xdr:sp macro="" textlink="">
          <xdr:nvSpPr>
            <xdr:cNvPr id="15365" name="Object 5" hidden="1">
              <a:extLst>
                <a:ext uri="{63B3BB69-23CF-44E3-9099-C40C66FF867C}">
                  <a14:compatExt spid="_x0000_s153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361950</xdr:colOff>
          <xdr:row>18</xdr:row>
          <xdr:rowOff>47625</xdr:rowOff>
        </xdr:from>
        <xdr:to>
          <xdr:col>5</xdr:col>
          <xdr:colOff>9525</xdr:colOff>
          <xdr:row>19</xdr:row>
          <xdr:rowOff>0</xdr:rowOff>
        </xdr:to>
        <xdr:sp macro="" textlink="">
          <xdr:nvSpPr>
            <xdr:cNvPr id="15366" name="Object 6" hidden="1">
              <a:extLst>
                <a:ext uri="{63B3BB69-23CF-44E3-9099-C40C66FF867C}">
                  <a14:compatExt spid="_x0000_s153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19</xdr:row>
          <xdr:rowOff>57150</xdr:rowOff>
        </xdr:from>
        <xdr:to>
          <xdr:col>4</xdr:col>
          <xdr:colOff>495300</xdr:colOff>
          <xdr:row>19</xdr:row>
          <xdr:rowOff>447675</xdr:rowOff>
        </xdr:to>
        <xdr:sp macro="" textlink="">
          <xdr:nvSpPr>
            <xdr:cNvPr id="15367" name="Object 7" hidden="1">
              <a:extLst>
                <a:ext uri="{63B3BB69-23CF-44E3-9099-C40C66FF867C}">
                  <a14:compatExt spid="_x0000_s153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209550</xdr:colOff>
          <xdr:row>24</xdr:row>
          <xdr:rowOff>57150</xdr:rowOff>
        </xdr:from>
        <xdr:to>
          <xdr:col>4</xdr:col>
          <xdr:colOff>361950</xdr:colOff>
          <xdr:row>24</xdr:row>
          <xdr:rowOff>285750</xdr:rowOff>
        </xdr:to>
        <xdr:sp macro="" textlink="">
          <xdr:nvSpPr>
            <xdr:cNvPr id="15368" name="Object 8" hidden="1">
              <a:extLst>
                <a:ext uri="{63B3BB69-23CF-44E3-9099-C40C66FF867C}">
                  <a14:compatExt spid="_x0000_s1536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24</xdr:row>
          <xdr:rowOff>57150</xdr:rowOff>
        </xdr:from>
        <xdr:to>
          <xdr:col>5</xdr:col>
          <xdr:colOff>409575</xdr:colOff>
          <xdr:row>24</xdr:row>
          <xdr:rowOff>285750</xdr:rowOff>
        </xdr:to>
        <xdr:sp macro="" textlink="">
          <xdr:nvSpPr>
            <xdr:cNvPr id="15369" name="Object 9" hidden="1">
              <a:extLst>
                <a:ext uri="{63B3BB69-23CF-44E3-9099-C40C66FF867C}">
                  <a14:compatExt spid="_x0000_s1536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190500</xdr:colOff>
          <xdr:row>24</xdr:row>
          <xdr:rowOff>66675</xdr:rowOff>
        </xdr:from>
        <xdr:to>
          <xdr:col>6</xdr:col>
          <xdr:colOff>381000</xdr:colOff>
          <xdr:row>24</xdr:row>
          <xdr:rowOff>295275</xdr:rowOff>
        </xdr:to>
        <xdr:sp macro="" textlink="">
          <xdr:nvSpPr>
            <xdr:cNvPr id="15370" name="Object 10" hidden="1">
              <a:extLst>
                <a:ext uri="{63B3BB69-23CF-44E3-9099-C40C66FF867C}">
                  <a14:compatExt spid="_x0000_s1537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495300</xdr:colOff>
          <xdr:row>46</xdr:row>
          <xdr:rowOff>161925</xdr:rowOff>
        </xdr:from>
        <xdr:to>
          <xdr:col>4</xdr:col>
          <xdr:colOff>600075</xdr:colOff>
          <xdr:row>48</xdr:row>
          <xdr:rowOff>152400</xdr:rowOff>
        </xdr:to>
        <xdr:sp macro="" textlink="">
          <xdr:nvSpPr>
            <xdr:cNvPr id="15371" name="Object 11" hidden="1">
              <a:extLst>
                <a:ext uri="{63B3BB69-23CF-44E3-9099-C40C66FF867C}">
                  <a14:compatExt spid="_x0000_s153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49</xdr:row>
          <xdr:rowOff>95250</xdr:rowOff>
        </xdr:from>
        <xdr:to>
          <xdr:col>4</xdr:col>
          <xdr:colOff>28575</xdr:colOff>
          <xdr:row>51</xdr:row>
          <xdr:rowOff>161925</xdr:rowOff>
        </xdr:to>
        <xdr:sp macro="" textlink="">
          <xdr:nvSpPr>
            <xdr:cNvPr id="15372" name="Object 12" hidden="1">
              <a:extLst>
                <a:ext uri="{63B3BB69-23CF-44E3-9099-C40C66FF867C}">
                  <a14:compatExt spid="_x0000_s1537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285750</xdr:colOff>
          <xdr:row>61</xdr:row>
          <xdr:rowOff>19050</xdr:rowOff>
        </xdr:from>
        <xdr:to>
          <xdr:col>0</xdr:col>
          <xdr:colOff>438150</xdr:colOff>
          <xdr:row>61</xdr:row>
          <xdr:rowOff>247650</xdr:rowOff>
        </xdr:to>
        <xdr:sp macro="" textlink="">
          <xdr:nvSpPr>
            <xdr:cNvPr id="15373" name="Object 13" hidden="1">
              <a:extLst>
                <a:ext uri="{63B3BB69-23CF-44E3-9099-C40C66FF867C}">
                  <a14:compatExt spid="_x0000_s153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61</xdr:row>
          <xdr:rowOff>28575</xdr:rowOff>
        </xdr:from>
        <xdr:to>
          <xdr:col>1</xdr:col>
          <xdr:colOff>390525</xdr:colOff>
          <xdr:row>61</xdr:row>
          <xdr:rowOff>257175</xdr:rowOff>
        </xdr:to>
        <xdr:sp macro="" textlink="">
          <xdr:nvSpPr>
            <xdr:cNvPr id="15374" name="Object 14" hidden="1">
              <a:extLst>
                <a:ext uri="{63B3BB69-23CF-44E3-9099-C40C66FF867C}">
                  <a14:compatExt spid="_x0000_s153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180975</xdr:colOff>
          <xdr:row>61</xdr:row>
          <xdr:rowOff>19050</xdr:rowOff>
        </xdr:from>
        <xdr:to>
          <xdr:col>2</xdr:col>
          <xdr:colOff>438150</xdr:colOff>
          <xdr:row>61</xdr:row>
          <xdr:rowOff>247650</xdr:rowOff>
        </xdr:to>
        <xdr:sp macro="" textlink="">
          <xdr:nvSpPr>
            <xdr:cNvPr id="15375" name="Object 15" hidden="1">
              <a:extLst>
                <a:ext uri="{63B3BB69-23CF-44E3-9099-C40C66FF867C}">
                  <a14:compatExt spid="_x0000_s153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238125</xdr:colOff>
          <xdr:row>72</xdr:row>
          <xdr:rowOff>76200</xdr:rowOff>
        </xdr:from>
        <xdr:to>
          <xdr:col>1</xdr:col>
          <xdr:colOff>457200</xdr:colOff>
          <xdr:row>74</xdr:row>
          <xdr:rowOff>123825</xdr:rowOff>
        </xdr:to>
        <xdr:sp macro="" textlink="">
          <xdr:nvSpPr>
            <xdr:cNvPr id="15376" name="Object 16" hidden="1">
              <a:extLst>
                <a:ext uri="{63B3BB69-23CF-44E3-9099-C40C66FF867C}">
                  <a14:compatExt spid="_x0000_s153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285750</xdr:colOff>
          <xdr:row>61</xdr:row>
          <xdr:rowOff>28575</xdr:rowOff>
        </xdr:from>
        <xdr:to>
          <xdr:col>4</xdr:col>
          <xdr:colOff>390525</xdr:colOff>
          <xdr:row>61</xdr:row>
          <xdr:rowOff>266700</xdr:rowOff>
        </xdr:to>
        <xdr:sp macro="" textlink="">
          <xdr:nvSpPr>
            <xdr:cNvPr id="15377" name="Object 17" hidden="1">
              <a:extLst>
                <a:ext uri="{63B3BB69-23CF-44E3-9099-C40C66FF867C}">
                  <a14:compatExt spid="_x0000_s153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295275</xdr:colOff>
          <xdr:row>61</xdr:row>
          <xdr:rowOff>28575</xdr:rowOff>
        </xdr:from>
        <xdr:to>
          <xdr:col>6</xdr:col>
          <xdr:colOff>381000</xdr:colOff>
          <xdr:row>61</xdr:row>
          <xdr:rowOff>266700</xdr:rowOff>
        </xdr:to>
        <xdr:sp macro="" textlink="">
          <xdr:nvSpPr>
            <xdr:cNvPr id="15378" name="Object 18" hidden="1">
              <a:extLst>
                <a:ext uri="{63B3BB69-23CF-44E3-9099-C40C66FF867C}">
                  <a14:compatExt spid="_x0000_s153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323850</xdr:colOff>
          <xdr:row>61</xdr:row>
          <xdr:rowOff>38100</xdr:rowOff>
        </xdr:from>
        <xdr:to>
          <xdr:col>8</xdr:col>
          <xdr:colOff>428625</xdr:colOff>
          <xdr:row>61</xdr:row>
          <xdr:rowOff>276225</xdr:rowOff>
        </xdr:to>
        <xdr:sp macro="" textlink="">
          <xdr:nvSpPr>
            <xdr:cNvPr id="15379" name="Object 19" hidden="1">
              <a:extLst>
                <a:ext uri="{63B3BB69-23CF-44E3-9099-C40C66FF867C}">
                  <a14:compatExt spid="_x0000_s153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238125</xdr:colOff>
          <xdr:row>76</xdr:row>
          <xdr:rowOff>209550</xdr:rowOff>
        </xdr:from>
        <xdr:to>
          <xdr:col>2</xdr:col>
          <xdr:colOff>390525</xdr:colOff>
          <xdr:row>78</xdr:row>
          <xdr:rowOff>0</xdr:rowOff>
        </xdr:to>
        <xdr:sp macro="" textlink="">
          <xdr:nvSpPr>
            <xdr:cNvPr id="15380" name="Object 20" hidden="1">
              <a:extLst>
                <a:ext uri="{63B3BB69-23CF-44E3-9099-C40C66FF867C}">
                  <a14:compatExt spid="_x0000_s153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142875</xdr:colOff>
          <xdr:row>74</xdr:row>
          <xdr:rowOff>85725</xdr:rowOff>
        </xdr:from>
        <xdr:to>
          <xdr:col>2</xdr:col>
          <xdr:colOff>542925</xdr:colOff>
          <xdr:row>76</xdr:row>
          <xdr:rowOff>76200</xdr:rowOff>
        </xdr:to>
        <xdr:sp macro="" textlink="">
          <xdr:nvSpPr>
            <xdr:cNvPr id="15381" name="Object 21" hidden="1">
              <a:extLst>
                <a:ext uri="{63B3BB69-23CF-44E3-9099-C40C66FF867C}">
                  <a14:compatExt spid="_x0000_s153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495300</xdr:colOff>
          <xdr:row>84</xdr:row>
          <xdr:rowOff>19050</xdr:rowOff>
        </xdr:from>
        <xdr:to>
          <xdr:col>6</xdr:col>
          <xdr:colOff>600075</xdr:colOff>
          <xdr:row>87</xdr:row>
          <xdr:rowOff>95250</xdr:rowOff>
        </xdr:to>
        <xdr:sp macro="" textlink="">
          <xdr:nvSpPr>
            <xdr:cNvPr id="15382" name="Object 22" hidden="1">
              <a:extLst>
                <a:ext uri="{63B3BB69-23CF-44E3-9099-C40C66FF867C}">
                  <a14:compatExt spid="_x0000_s153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409575</xdr:colOff>
          <xdr:row>84</xdr:row>
          <xdr:rowOff>9525</xdr:rowOff>
        </xdr:from>
        <xdr:to>
          <xdr:col>2</xdr:col>
          <xdr:colOff>571500</xdr:colOff>
          <xdr:row>87</xdr:row>
          <xdr:rowOff>28575</xdr:rowOff>
        </xdr:to>
        <xdr:sp macro="" textlink="">
          <xdr:nvSpPr>
            <xdr:cNvPr id="15383" name="Object 23" hidden="1">
              <a:extLst>
                <a:ext uri="{63B3BB69-23CF-44E3-9099-C40C66FF867C}">
                  <a14:compatExt spid="_x0000_s153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438150</xdr:colOff>
          <xdr:row>81</xdr:row>
          <xdr:rowOff>66675</xdr:rowOff>
        </xdr:from>
        <xdr:to>
          <xdr:col>2</xdr:col>
          <xdr:colOff>581025</xdr:colOff>
          <xdr:row>83</xdr:row>
          <xdr:rowOff>114300</xdr:rowOff>
        </xdr:to>
        <xdr:sp macro="" textlink="">
          <xdr:nvSpPr>
            <xdr:cNvPr id="15384" name="Object 24" hidden="1">
              <a:extLst>
                <a:ext uri="{63B3BB69-23CF-44E3-9099-C40C66FF867C}">
                  <a14:compatExt spid="_x0000_s153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390525</xdr:colOff>
          <xdr:row>81</xdr:row>
          <xdr:rowOff>66675</xdr:rowOff>
        </xdr:from>
        <xdr:to>
          <xdr:col>7</xdr:col>
          <xdr:colOff>9525</xdr:colOff>
          <xdr:row>83</xdr:row>
          <xdr:rowOff>114300</xdr:rowOff>
        </xdr:to>
        <xdr:sp macro="" textlink="">
          <xdr:nvSpPr>
            <xdr:cNvPr id="15385" name="Object 25" hidden="1">
              <a:extLst>
                <a:ext uri="{63B3BB69-23CF-44E3-9099-C40C66FF867C}">
                  <a14:compatExt spid="_x0000_s153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352425</xdr:colOff>
          <xdr:row>75</xdr:row>
          <xdr:rowOff>57150</xdr:rowOff>
        </xdr:from>
        <xdr:to>
          <xdr:col>8</xdr:col>
          <xdr:colOff>419100</xdr:colOff>
          <xdr:row>78</xdr:row>
          <xdr:rowOff>85725</xdr:rowOff>
        </xdr:to>
        <xdr:sp macro="" textlink="">
          <xdr:nvSpPr>
            <xdr:cNvPr id="15386" name="Object 26" hidden="1">
              <a:extLst>
                <a:ext uri="{63B3BB69-23CF-44E3-9099-C40C66FF867C}">
                  <a14:compatExt spid="_x0000_s153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285750</xdr:colOff>
          <xdr:row>95</xdr:row>
          <xdr:rowOff>19050</xdr:rowOff>
        </xdr:from>
        <xdr:to>
          <xdr:col>0</xdr:col>
          <xdr:colOff>438150</xdr:colOff>
          <xdr:row>95</xdr:row>
          <xdr:rowOff>247650</xdr:rowOff>
        </xdr:to>
        <xdr:sp macro="" textlink="">
          <xdr:nvSpPr>
            <xdr:cNvPr id="15387" name="Object 27" hidden="1">
              <a:extLst>
                <a:ext uri="{63B3BB69-23CF-44E3-9099-C40C66FF867C}">
                  <a14:compatExt spid="_x0000_s153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90</xdr:row>
          <xdr:rowOff>76200</xdr:rowOff>
        </xdr:from>
        <xdr:to>
          <xdr:col>7</xdr:col>
          <xdr:colOff>381000</xdr:colOff>
          <xdr:row>92</xdr:row>
          <xdr:rowOff>114300</xdr:rowOff>
        </xdr:to>
        <xdr:sp macro="" textlink="">
          <xdr:nvSpPr>
            <xdr:cNvPr id="15388" name="Object 28" hidden="1">
              <a:extLst>
                <a:ext uri="{63B3BB69-23CF-44E3-9099-C40C66FF867C}">
                  <a14:compatExt spid="_x0000_s153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485775</xdr:colOff>
          <xdr:row>90</xdr:row>
          <xdr:rowOff>47625</xdr:rowOff>
        </xdr:from>
        <xdr:to>
          <xdr:col>10</xdr:col>
          <xdr:colOff>333375</xdr:colOff>
          <xdr:row>92</xdr:row>
          <xdr:rowOff>123825</xdr:rowOff>
        </xdr:to>
        <xdr:sp macro="" textlink="">
          <xdr:nvSpPr>
            <xdr:cNvPr id="15389" name="Object 29" hidden="1">
              <a:extLst>
                <a:ext uri="{63B3BB69-23CF-44E3-9099-C40C66FF867C}">
                  <a14:compatExt spid="_x0000_s1538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90</xdr:row>
          <xdr:rowOff>95250</xdr:rowOff>
        </xdr:from>
        <xdr:to>
          <xdr:col>11</xdr:col>
          <xdr:colOff>247650</xdr:colOff>
          <xdr:row>92</xdr:row>
          <xdr:rowOff>133350</xdr:rowOff>
        </xdr:to>
        <xdr:sp macro="" textlink="">
          <xdr:nvSpPr>
            <xdr:cNvPr id="15390" name="Object 30" hidden="1">
              <a:extLst>
                <a:ext uri="{63B3BB69-23CF-44E3-9099-C40C66FF867C}">
                  <a14:compatExt spid="_x0000_s1539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228600</xdr:colOff>
          <xdr:row>95</xdr:row>
          <xdr:rowOff>9525</xdr:rowOff>
        </xdr:from>
        <xdr:to>
          <xdr:col>1</xdr:col>
          <xdr:colOff>371475</xdr:colOff>
          <xdr:row>95</xdr:row>
          <xdr:rowOff>238125</xdr:rowOff>
        </xdr:to>
        <xdr:sp macro="" textlink="">
          <xdr:nvSpPr>
            <xdr:cNvPr id="15391" name="Object 31" hidden="1">
              <a:extLst>
                <a:ext uri="{63B3BB69-23CF-44E3-9099-C40C66FF867C}">
                  <a14:compatExt spid="_x0000_s1539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114300</xdr:colOff>
          <xdr:row>95</xdr:row>
          <xdr:rowOff>19050</xdr:rowOff>
        </xdr:from>
        <xdr:to>
          <xdr:col>2</xdr:col>
          <xdr:colOff>485775</xdr:colOff>
          <xdr:row>95</xdr:row>
          <xdr:rowOff>247650</xdr:rowOff>
        </xdr:to>
        <xdr:sp macro="" textlink="">
          <xdr:nvSpPr>
            <xdr:cNvPr id="15392" name="Object 32" hidden="1">
              <a:extLst>
                <a:ext uri="{63B3BB69-23CF-44E3-9099-C40C66FF867C}">
                  <a14:compatExt spid="_x0000_s1539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190500</xdr:colOff>
          <xdr:row>95</xdr:row>
          <xdr:rowOff>38100</xdr:rowOff>
        </xdr:from>
        <xdr:to>
          <xdr:col>3</xdr:col>
          <xdr:colOff>342900</xdr:colOff>
          <xdr:row>95</xdr:row>
          <xdr:rowOff>266700</xdr:rowOff>
        </xdr:to>
        <xdr:sp macro="" textlink="">
          <xdr:nvSpPr>
            <xdr:cNvPr id="15393" name="Object 33" hidden="1">
              <a:extLst>
                <a:ext uri="{63B3BB69-23CF-44E3-9099-C40C66FF867C}">
                  <a14:compatExt spid="_x0000_s153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66675</xdr:colOff>
          <xdr:row>111</xdr:row>
          <xdr:rowOff>161925</xdr:rowOff>
        </xdr:from>
        <xdr:to>
          <xdr:col>1</xdr:col>
          <xdr:colOff>590550</xdr:colOff>
          <xdr:row>113</xdr:row>
          <xdr:rowOff>38100</xdr:rowOff>
        </xdr:to>
        <xdr:sp macro="" textlink="">
          <xdr:nvSpPr>
            <xdr:cNvPr id="15394" name="Object 34" hidden="1">
              <a:extLst>
                <a:ext uri="{63B3BB69-23CF-44E3-9099-C40C66FF867C}">
                  <a14:compatExt spid="_x0000_s153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9525</xdr:colOff>
          <xdr:row>113</xdr:row>
          <xdr:rowOff>57150</xdr:rowOff>
        </xdr:from>
        <xdr:to>
          <xdr:col>7</xdr:col>
          <xdr:colOff>47625</xdr:colOff>
          <xdr:row>115</xdr:row>
          <xdr:rowOff>133350</xdr:rowOff>
        </xdr:to>
        <xdr:sp macro="" textlink="">
          <xdr:nvSpPr>
            <xdr:cNvPr id="15395" name="Object 35" hidden="1">
              <a:extLst>
                <a:ext uri="{63B3BB69-23CF-44E3-9099-C40C66FF867C}">
                  <a14:compatExt spid="_x0000_s153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238125</xdr:colOff>
          <xdr:row>118</xdr:row>
          <xdr:rowOff>152400</xdr:rowOff>
        </xdr:from>
        <xdr:to>
          <xdr:col>0</xdr:col>
          <xdr:colOff>390525</xdr:colOff>
          <xdr:row>118</xdr:row>
          <xdr:rowOff>381000</xdr:rowOff>
        </xdr:to>
        <xdr:sp macro="" textlink="">
          <xdr:nvSpPr>
            <xdr:cNvPr id="15396" name="Object 36" hidden="1">
              <a:extLst>
                <a:ext uri="{63B3BB69-23CF-44E3-9099-C40C66FF867C}">
                  <a14:compatExt spid="_x0000_s153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118</xdr:row>
          <xdr:rowOff>152400</xdr:rowOff>
        </xdr:from>
        <xdr:to>
          <xdr:col>1</xdr:col>
          <xdr:colOff>409575</xdr:colOff>
          <xdr:row>118</xdr:row>
          <xdr:rowOff>381000</xdr:rowOff>
        </xdr:to>
        <xdr:sp macro="" textlink="">
          <xdr:nvSpPr>
            <xdr:cNvPr id="15397" name="Object 37" hidden="1">
              <a:extLst>
                <a:ext uri="{63B3BB69-23CF-44E3-9099-C40C66FF867C}">
                  <a14:compatExt spid="_x0000_s153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323850</xdr:colOff>
          <xdr:row>118</xdr:row>
          <xdr:rowOff>0</xdr:rowOff>
        </xdr:from>
        <xdr:to>
          <xdr:col>3</xdr:col>
          <xdr:colOff>323850</xdr:colOff>
          <xdr:row>118</xdr:row>
          <xdr:rowOff>457200</xdr:rowOff>
        </xdr:to>
        <xdr:sp macro="" textlink="">
          <xdr:nvSpPr>
            <xdr:cNvPr id="15398" name="Object 38" hidden="1">
              <a:extLst>
                <a:ext uri="{63B3BB69-23CF-44E3-9099-C40C66FF867C}">
                  <a14:compatExt spid="_x0000_s1539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131</xdr:row>
          <xdr:rowOff>9525</xdr:rowOff>
        </xdr:from>
        <xdr:to>
          <xdr:col>1</xdr:col>
          <xdr:colOff>590550</xdr:colOff>
          <xdr:row>132</xdr:row>
          <xdr:rowOff>57150</xdr:rowOff>
        </xdr:to>
        <xdr:sp macro="" textlink="">
          <xdr:nvSpPr>
            <xdr:cNvPr id="15399" name="Object 39" hidden="1">
              <a:extLst>
                <a:ext uri="{63B3BB69-23CF-44E3-9099-C40C66FF867C}">
                  <a14:compatExt spid="_x0000_s1539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8</xdr:row>
          <xdr:rowOff>76200</xdr:rowOff>
        </xdr:from>
        <xdr:to>
          <xdr:col>4</xdr:col>
          <xdr:colOff>85725</xdr:colOff>
          <xdr:row>11</xdr:row>
          <xdr:rowOff>104775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590550</xdr:colOff>
          <xdr:row>12</xdr:row>
          <xdr:rowOff>0</xdr:rowOff>
        </xdr:from>
        <xdr:to>
          <xdr:col>4</xdr:col>
          <xdr:colOff>619125</xdr:colOff>
          <xdr:row>14</xdr:row>
          <xdr:rowOff>28575</xdr:rowOff>
        </xdr:to>
        <xdr:sp macro="" textlink="">
          <xdr:nvSpPr>
            <xdr:cNvPr id="17410" name="Object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15</xdr:row>
          <xdr:rowOff>0</xdr:rowOff>
        </xdr:from>
        <xdr:to>
          <xdr:col>4</xdr:col>
          <xdr:colOff>638175</xdr:colOff>
          <xdr:row>17</xdr:row>
          <xdr:rowOff>152400</xdr:rowOff>
        </xdr:to>
        <xdr:sp macro="" textlink="">
          <xdr:nvSpPr>
            <xdr:cNvPr id="17411" name="Object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</xdr:row>
          <xdr:rowOff>47625</xdr:rowOff>
        </xdr:from>
        <xdr:to>
          <xdr:col>2</xdr:col>
          <xdr:colOff>590550</xdr:colOff>
          <xdr:row>14</xdr:row>
          <xdr:rowOff>38100</xdr:rowOff>
        </xdr:to>
        <xdr:sp macro="" textlink="">
          <xdr:nvSpPr>
            <xdr:cNvPr id="18434" name="Object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15</xdr:row>
          <xdr:rowOff>47625</xdr:rowOff>
        </xdr:from>
        <xdr:to>
          <xdr:col>6</xdr:col>
          <xdr:colOff>266700</xdr:colOff>
          <xdr:row>20</xdr:row>
          <xdr:rowOff>9525</xdr:rowOff>
        </xdr:to>
        <xdr:sp macro="" textlink="">
          <xdr:nvSpPr>
            <xdr:cNvPr id="18435" name="Object 3" hidden="1">
              <a:extLst>
                <a:ext uri="{63B3BB69-23CF-44E3-9099-C40C66FF867C}">
                  <a14:compatExt spid="_x0000_s184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11</xdr:row>
          <xdr:rowOff>47625</xdr:rowOff>
        </xdr:from>
        <xdr:to>
          <xdr:col>2</xdr:col>
          <xdr:colOff>590550</xdr:colOff>
          <xdr:row>13</xdr:row>
          <xdr:rowOff>38100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85725</xdr:colOff>
          <xdr:row>14</xdr:row>
          <xdr:rowOff>47625</xdr:rowOff>
        </xdr:from>
        <xdr:to>
          <xdr:col>5</xdr:col>
          <xdr:colOff>66675</xdr:colOff>
          <xdr:row>17</xdr:row>
          <xdr:rowOff>190500</xdr:rowOff>
        </xdr:to>
        <xdr:sp macro="" textlink="">
          <xdr:nvSpPr>
            <xdr:cNvPr id="19458" name="Object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19050</xdr:colOff>
          <xdr:row>7</xdr:row>
          <xdr:rowOff>76200</xdr:rowOff>
        </xdr:from>
        <xdr:to>
          <xdr:col>3</xdr:col>
          <xdr:colOff>47625</xdr:colOff>
          <xdr:row>9</xdr:row>
          <xdr:rowOff>209550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514350</xdr:colOff>
          <xdr:row>7</xdr:row>
          <xdr:rowOff>76200</xdr:rowOff>
        </xdr:from>
        <xdr:to>
          <xdr:col>7</xdr:col>
          <xdr:colOff>9525</xdr:colOff>
          <xdr:row>9</xdr:row>
          <xdr:rowOff>190500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11</xdr:row>
          <xdr:rowOff>9525</xdr:rowOff>
        </xdr:from>
        <xdr:to>
          <xdr:col>5</xdr:col>
          <xdr:colOff>542925</xdr:colOff>
          <xdr:row>13</xdr:row>
          <xdr:rowOff>47625</xdr:rowOff>
        </xdr:to>
        <xdr:sp macro="" textlink="">
          <xdr:nvSpPr>
            <xdr:cNvPr id="20483" name="Object 3" hidden="1">
              <a:extLst>
                <a:ext uri="{63B3BB69-23CF-44E3-9099-C40C66FF867C}">
                  <a14:compatExt spid="_x0000_s204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14</xdr:row>
          <xdr:rowOff>47625</xdr:rowOff>
        </xdr:from>
        <xdr:to>
          <xdr:col>5</xdr:col>
          <xdr:colOff>552450</xdr:colOff>
          <xdr:row>16</xdr:row>
          <xdr:rowOff>209550</xdr:rowOff>
        </xdr:to>
        <xdr:sp macro="" textlink="">
          <xdr:nvSpPr>
            <xdr:cNvPr id="20484" name="Object 4" hidden="1">
              <a:extLst>
                <a:ext uri="{63B3BB69-23CF-44E3-9099-C40C66FF867C}">
                  <a14:compatExt spid="_x0000_s204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123825</xdr:colOff>
          <xdr:row>18</xdr:row>
          <xdr:rowOff>47625</xdr:rowOff>
        </xdr:from>
        <xdr:to>
          <xdr:col>5</xdr:col>
          <xdr:colOff>581025</xdr:colOff>
          <xdr:row>21</xdr:row>
          <xdr:rowOff>9525</xdr:rowOff>
        </xdr:to>
        <xdr:sp macro="" textlink="">
          <xdr:nvSpPr>
            <xdr:cNvPr id="20485" name="Object 5" hidden="1">
              <a:extLst>
                <a:ext uri="{63B3BB69-23CF-44E3-9099-C40C66FF867C}">
                  <a14:compatExt spid="_x0000_s204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152400</xdr:colOff>
          <xdr:row>21</xdr:row>
          <xdr:rowOff>0</xdr:rowOff>
        </xdr:from>
        <xdr:to>
          <xdr:col>6</xdr:col>
          <xdr:colOff>9525</xdr:colOff>
          <xdr:row>23</xdr:row>
          <xdr:rowOff>219075</xdr:rowOff>
        </xdr:to>
        <xdr:sp macro="" textlink="">
          <xdr:nvSpPr>
            <xdr:cNvPr id="20486" name="Object 6" hidden="1">
              <a:extLst>
                <a:ext uri="{63B3BB69-23CF-44E3-9099-C40C66FF867C}">
                  <a14:compatExt spid="_x0000_s204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95250</xdr:colOff>
          <xdr:row>1</xdr:row>
          <xdr:rowOff>200025</xdr:rowOff>
        </xdr:from>
        <xdr:to>
          <xdr:col>10</xdr:col>
          <xdr:colOff>295275</xdr:colOff>
          <xdr:row>5</xdr:row>
          <xdr:rowOff>0</xdr:rowOff>
        </xdr:to>
        <xdr:sp macro="" textlink="">
          <xdr:nvSpPr>
            <xdr:cNvPr id="21506" name="Object 2" hidden="1">
              <a:extLst>
                <a:ext uri="{63B3BB69-23CF-44E3-9099-C40C66FF867C}">
                  <a14:compatExt spid="_x0000_s215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342900</xdr:colOff>
          <xdr:row>8</xdr:row>
          <xdr:rowOff>47625</xdr:rowOff>
        </xdr:from>
        <xdr:to>
          <xdr:col>3</xdr:col>
          <xdr:colOff>581025</xdr:colOff>
          <xdr:row>9</xdr:row>
          <xdr:rowOff>0</xdr:rowOff>
        </xdr:to>
        <xdr:sp macro="" textlink="">
          <xdr:nvSpPr>
            <xdr:cNvPr id="21511" name="Object 7" hidden="1">
              <a:extLst>
                <a:ext uri="{63B3BB69-23CF-44E3-9099-C40C66FF867C}">
                  <a14:compatExt spid="_x0000_s2151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514350</xdr:colOff>
      <xdr:row>4</xdr:row>
      <xdr:rowOff>123825</xdr:rowOff>
    </xdr:from>
    <xdr:to>
      <xdr:col>5</xdr:col>
      <xdr:colOff>257175</xdr:colOff>
      <xdr:row>5</xdr:row>
      <xdr:rowOff>190500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1123950" y="1304925"/>
          <a:ext cx="2562225" cy="361950"/>
        </a:xfrm>
        <a:prstGeom prst="wedgeRoundRectCallout">
          <a:avLst>
            <a:gd name="adj1" fmla="val 26751"/>
            <a:gd name="adj2" fmla="val -95395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=-0,5+НОРМСТРАСП(</a:t>
          </a:r>
          <a:r>
            <a: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C4)</a:t>
          </a:r>
          <a:endParaRPr lang="ru-RU" sz="16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361950</xdr:colOff>
      <xdr:row>9</xdr:row>
      <xdr:rowOff>133350</xdr:rowOff>
    </xdr:from>
    <xdr:to>
      <xdr:col>5</xdr:col>
      <xdr:colOff>104775</xdr:colOff>
      <xdr:row>10</xdr:row>
      <xdr:rowOff>200025</xdr:rowOff>
    </xdr:to>
    <xdr:sp macro="" textlink="">
      <xdr:nvSpPr>
        <xdr:cNvPr id="10" name="Скругленная прямоугольная выноска 9"/>
        <xdr:cNvSpPr/>
      </xdr:nvSpPr>
      <xdr:spPr>
        <a:xfrm>
          <a:off x="971550" y="2790825"/>
          <a:ext cx="2562225" cy="361950"/>
        </a:xfrm>
        <a:prstGeom prst="wedgeRoundRectCallout">
          <a:avLst>
            <a:gd name="adj1" fmla="val 26751"/>
            <a:gd name="adj2" fmla="val -95395"/>
            <a:gd name="adj3" fmla="val 16667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=НОРМСТОБР(</a:t>
          </a:r>
          <a:r>
            <a:rPr lang="en-US" sz="16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C9+0,5)</a:t>
          </a:r>
          <a:endParaRPr lang="ru-RU" sz="16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295275</xdr:colOff>
      <xdr:row>8</xdr:row>
      <xdr:rowOff>171450</xdr:rowOff>
    </xdr:from>
    <xdr:to>
      <xdr:col>5</xdr:col>
      <xdr:colOff>876300</xdr:colOff>
      <xdr:row>10</xdr:row>
      <xdr:rowOff>57150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2524125" y="2466975"/>
          <a:ext cx="1885950" cy="361950"/>
        </a:xfrm>
        <a:prstGeom prst="wedgeRoundRectCallout">
          <a:avLst>
            <a:gd name="adj1" fmla="val 21086"/>
            <a:gd name="adj2" fmla="val -105921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=ХИ2ОБР(</a:t>
          </a:r>
          <a:r>
            <a:rPr lang="en-US" sz="18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I5;G5)</a:t>
          </a:r>
          <a:endParaRPr lang="ru-RU" sz="18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600075</xdr:colOff>
          <xdr:row>14</xdr:row>
          <xdr:rowOff>66675</xdr:rowOff>
        </xdr:from>
        <xdr:to>
          <xdr:col>4</xdr:col>
          <xdr:colOff>66675</xdr:colOff>
          <xdr:row>18</xdr:row>
          <xdr:rowOff>133350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20</xdr:row>
          <xdr:rowOff>47625</xdr:rowOff>
        </xdr:from>
        <xdr:to>
          <xdr:col>4</xdr:col>
          <xdr:colOff>85725</xdr:colOff>
          <xdr:row>24</xdr:row>
          <xdr:rowOff>180975</xdr:rowOff>
        </xdr:to>
        <xdr:sp macro="" textlink="">
          <xdr:nvSpPr>
            <xdr:cNvPr id="24578" name="Object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57150</xdr:colOff>
      <xdr:row>27</xdr:row>
      <xdr:rowOff>276225</xdr:rowOff>
    </xdr:from>
    <xdr:to>
      <xdr:col>3</xdr:col>
      <xdr:colOff>95250</xdr:colOff>
      <xdr:row>31</xdr:row>
      <xdr:rowOff>171450</xdr:rowOff>
    </xdr:to>
    <xdr:pic>
      <xdr:nvPicPr>
        <xdr:cNvPr id="4" name="Рисунок 3" descr="kriteriy_soglasiya_clip_image0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6762750"/>
          <a:ext cx="158115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9525</xdr:colOff>
      <xdr:row>30</xdr:row>
      <xdr:rowOff>66675</xdr:rowOff>
    </xdr:from>
    <xdr:to>
      <xdr:col>4</xdr:col>
      <xdr:colOff>381000</xdr:colOff>
      <xdr:row>34</xdr:row>
      <xdr:rowOff>123825</xdr:rowOff>
    </xdr:to>
    <xdr:pic>
      <xdr:nvPicPr>
        <xdr:cNvPr id="5" name="Рисунок 4" descr="kriteriy_soglasiya_clip_image07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7391400"/>
          <a:ext cx="193357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628650</xdr:colOff>
      <xdr:row>30</xdr:row>
      <xdr:rowOff>152400</xdr:rowOff>
    </xdr:from>
    <xdr:to>
      <xdr:col>6</xdr:col>
      <xdr:colOff>561975</xdr:colOff>
      <xdr:row>33</xdr:row>
      <xdr:rowOff>142875</xdr:rowOff>
    </xdr:to>
    <xdr:pic>
      <xdr:nvPicPr>
        <xdr:cNvPr id="6" name="Рисунок 5" descr="kriteriy_soglasiya_clip_image07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7477125"/>
          <a:ext cx="17526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238125</xdr:rowOff>
        </xdr:from>
        <xdr:to>
          <xdr:col>0</xdr:col>
          <xdr:colOff>600075</xdr:colOff>
          <xdr:row>49</xdr:row>
          <xdr:rowOff>19050</xdr:rowOff>
        </xdr:to>
        <xdr:sp macro="" textlink="">
          <xdr:nvSpPr>
            <xdr:cNvPr id="24582" name="Object 6" hidden="1">
              <a:extLst>
                <a:ext uri="{63B3BB69-23CF-44E3-9099-C40C66FF867C}">
                  <a14:compatExt spid="_x0000_s245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49</xdr:row>
          <xdr:rowOff>95250</xdr:rowOff>
        </xdr:from>
        <xdr:to>
          <xdr:col>0</xdr:col>
          <xdr:colOff>581025</xdr:colOff>
          <xdr:row>52</xdr:row>
          <xdr:rowOff>19050</xdr:rowOff>
        </xdr:to>
        <xdr:sp macro="" textlink="">
          <xdr:nvSpPr>
            <xdr:cNvPr id="24583" name="Object 7" hidden="1">
              <a:extLst>
                <a:ext uri="{63B3BB69-23CF-44E3-9099-C40C66FF867C}">
                  <a14:compatExt spid="_x0000_s245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0</xdr:col>
      <xdr:colOff>381000</xdr:colOff>
      <xdr:row>35</xdr:row>
      <xdr:rowOff>28575</xdr:rowOff>
    </xdr:from>
    <xdr:to>
      <xdr:col>2</xdr:col>
      <xdr:colOff>571500</xdr:colOff>
      <xdr:row>36</xdr:row>
      <xdr:rowOff>85725</xdr:rowOff>
    </xdr:to>
    <xdr:sp macro="" textlink="">
      <xdr:nvSpPr>
        <xdr:cNvPr id="2" name="Выноска 1 1"/>
        <xdr:cNvSpPr/>
      </xdr:nvSpPr>
      <xdr:spPr>
        <a:xfrm>
          <a:off x="381000" y="8372475"/>
          <a:ext cx="1733550" cy="247650"/>
        </a:xfrm>
        <a:prstGeom prst="borderCallout1">
          <a:avLst>
            <a:gd name="adj1" fmla="val 89292"/>
            <a:gd name="adj2" fmla="val 100001"/>
            <a:gd name="adj3" fmla="val 457032"/>
            <a:gd name="adj4" fmla="val 105966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=(B39-$B$49)/$B$51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266701</xdr:colOff>
      <xdr:row>34</xdr:row>
      <xdr:rowOff>152400</xdr:rowOff>
    </xdr:from>
    <xdr:to>
      <xdr:col>5</xdr:col>
      <xdr:colOff>447675</xdr:colOff>
      <xdr:row>36</xdr:row>
      <xdr:rowOff>19050</xdr:rowOff>
    </xdr:to>
    <xdr:sp macro="" textlink="">
      <xdr:nvSpPr>
        <xdr:cNvPr id="10" name="Выноска 1 9"/>
        <xdr:cNvSpPr/>
      </xdr:nvSpPr>
      <xdr:spPr>
        <a:xfrm>
          <a:off x="2419351" y="8305800"/>
          <a:ext cx="2181224" cy="247650"/>
        </a:xfrm>
        <a:prstGeom prst="borderCallout1">
          <a:avLst>
            <a:gd name="adj1" fmla="val 93138"/>
            <a:gd name="adj2" fmla="val 48909"/>
            <a:gd name="adj3" fmla="val 480109"/>
            <a:gd name="adj4" fmla="val 35111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=НОРМ.СТ.РАСП(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D39;0)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114300</xdr:colOff>
      <xdr:row>47</xdr:row>
      <xdr:rowOff>152400</xdr:rowOff>
    </xdr:from>
    <xdr:to>
      <xdr:col>5</xdr:col>
      <xdr:colOff>295274</xdr:colOff>
      <xdr:row>48</xdr:row>
      <xdr:rowOff>209550</xdr:rowOff>
    </xdr:to>
    <xdr:sp macro="" textlink="">
      <xdr:nvSpPr>
        <xdr:cNvPr id="11" name="Выноска 1 10"/>
        <xdr:cNvSpPr/>
      </xdr:nvSpPr>
      <xdr:spPr>
        <a:xfrm>
          <a:off x="2266950" y="11706225"/>
          <a:ext cx="2181224" cy="400050"/>
        </a:xfrm>
        <a:prstGeom prst="borderCallout1">
          <a:avLst>
            <a:gd name="adj1" fmla="val -10708"/>
            <a:gd name="adj2" fmla="val 64193"/>
            <a:gd name="adj3" fmla="val -543334"/>
            <a:gd name="adj4" fmla="val 8707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=$F$30*$F$29/$B$51*E39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37</xdr:row>
          <xdr:rowOff>0</xdr:rowOff>
        </xdr:from>
        <xdr:to>
          <xdr:col>7</xdr:col>
          <xdr:colOff>1209675</xdr:colOff>
          <xdr:row>37</xdr:row>
          <xdr:rowOff>657225</xdr:rowOff>
        </xdr:to>
        <xdr:sp macro="" textlink="">
          <xdr:nvSpPr>
            <xdr:cNvPr id="24584" name="Object 8" hidden="1">
              <a:extLst>
                <a:ext uri="{63B3BB69-23CF-44E3-9099-C40C66FF867C}">
                  <a14:compatExt spid="_x0000_s245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809625</xdr:colOff>
          <xdr:row>48</xdr:row>
          <xdr:rowOff>314325</xdr:rowOff>
        </xdr:from>
        <xdr:to>
          <xdr:col>7</xdr:col>
          <xdr:colOff>9525</xdr:colOff>
          <xdr:row>52</xdr:row>
          <xdr:rowOff>95250</xdr:rowOff>
        </xdr:to>
        <xdr:sp macro="" textlink="">
          <xdr:nvSpPr>
            <xdr:cNvPr id="24585" name="Object 9" hidden="1">
              <a:extLst>
                <a:ext uri="{63B3BB69-23CF-44E3-9099-C40C66FF867C}">
                  <a14:compatExt spid="_x0000_s24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304800</xdr:colOff>
          <xdr:row>9</xdr:row>
          <xdr:rowOff>114300</xdr:rowOff>
        </xdr:from>
        <xdr:to>
          <xdr:col>3</xdr:col>
          <xdr:colOff>57150</xdr:colOff>
          <xdr:row>11</xdr:row>
          <xdr:rowOff>47625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1</xdr:col>
      <xdr:colOff>352424</xdr:colOff>
      <xdr:row>13</xdr:row>
      <xdr:rowOff>95249</xdr:rowOff>
    </xdr:from>
    <xdr:to>
      <xdr:col>4</xdr:col>
      <xdr:colOff>361950</xdr:colOff>
      <xdr:row>15</xdr:row>
      <xdr:rowOff>200024</xdr:rowOff>
    </xdr:to>
    <xdr:pic>
      <xdr:nvPicPr>
        <xdr:cNvPr id="4" name="Рисунок 3" descr="kriteriy_soglasiya_clip_image150_000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4" y="3686174"/>
          <a:ext cx="2000251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581025</xdr:colOff>
          <xdr:row>1</xdr:row>
          <xdr:rowOff>38100</xdr:rowOff>
        </xdr:from>
        <xdr:to>
          <xdr:col>6</xdr:col>
          <xdr:colOff>990600</xdr:colOff>
          <xdr:row>1</xdr:row>
          <xdr:rowOff>542925</xdr:rowOff>
        </xdr:to>
        <xdr:sp macro="" textlink="">
          <xdr:nvSpPr>
            <xdr:cNvPr id="25604" name="Object 4" hidden="1">
              <a:extLst>
                <a:ext uri="{63B3BB69-23CF-44E3-9099-C40C66FF867C}">
                  <a14:compatExt spid="_x0000_s2560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571500</xdr:colOff>
          <xdr:row>10</xdr:row>
          <xdr:rowOff>209550</xdr:rowOff>
        </xdr:from>
        <xdr:to>
          <xdr:col>6</xdr:col>
          <xdr:colOff>9525</xdr:colOff>
          <xdr:row>13</xdr:row>
          <xdr:rowOff>9525</xdr:rowOff>
        </xdr:to>
        <xdr:sp macro="" textlink="">
          <xdr:nvSpPr>
            <xdr:cNvPr id="25605" name="Object 5" hidden="1">
              <a:extLst>
                <a:ext uri="{63B3BB69-23CF-44E3-9099-C40C66FF867C}">
                  <a14:compatExt spid="_x0000_s2560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609600</xdr:colOff>
          <xdr:row>15</xdr:row>
          <xdr:rowOff>219075</xdr:rowOff>
        </xdr:from>
        <xdr:to>
          <xdr:col>5</xdr:col>
          <xdr:colOff>57150</xdr:colOff>
          <xdr:row>19</xdr:row>
          <xdr:rowOff>228600</xdr:rowOff>
        </xdr:to>
        <xdr:sp macro="" textlink="">
          <xdr:nvSpPr>
            <xdr:cNvPr id="25606" name="Object 6" hidden="1">
              <a:extLst>
                <a:ext uri="{63B3BB69-23CF-44E3-9099-C40C66FF867C}">
                  <a14:compatExt spid="_x0000_s2560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552450</xdr:colOff>
      <xdr:row>9</xdr:row>
      <xdr:rowOff>38101</xdr:rowOff>
    </xdr:from>
    <xdr:to>
      <xdr:col>8</xdr:col>
      <xdr:colOff>76200</xdr:colOff>
      <xdr:row>10</xdr:row>
      <xdr:rowOff>57150</xdr:rowOff>
    </xdr:to>
    <xdr:sp macro="" textlink="">
      <xdr:nvSpPr>
        <xdr:cNvPr id="9" name="Выноска 1 8"/>
        <xdr:cNvSpPr/>
      </xdr:nvSpPr>
      <xdr:spPr>
        <a:xfrm>
          <a:off x="2381250" y="2590801"/>
          <a:ext cx="3228975" cy="257174"/>
        </a:xfrm>
        <a:prstGeom prst="borderCallout1">
          <a:avLst>
            <a:gd name="adj1" fmla="val -18115"/>
            <a:gd name="adj2" fmla="val 27758"/>
            <a:gd name="adj3" fmla="val -617042"/>
            <a:gd name="adj4" fmla="val 23353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=$D$11^B3*EXP(-$D$11)/</a:t>
          </a:r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ФАКТР(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B3)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66675</xdr:rowOff>
    </xdr:from>
    <xdr:to>
      <xdr:col>5</xdr:col>
      <xdr:colOff>142875</xdr:colOff>
      <xdr:row>2</xdr:row>
      <xdr:rowOff>323849</xdr:rowOff>
    </xdr:to>
    <xdr:sp macro="" textlink="">
      <xdr:nvSpPr>
        <xdr:cNvPr id="2" name="Выноска 1 1"/>
        <xdr:cNvSpPr/>
      </xdr:nvSpPr>
      <xdr:spPr>
        <a:xfrm>
          <a:off x="2066925" y="619125"/>
          <a:ext cx="1228725" cy="257174"/>
        </a:xfrm>
        <a:prstGeom prst="borderCallout1">
          <a:avLst>
            <a:gd name="adj1" fmla="val 41145"/>
            <a:gd name="adj2" fmla="val -561"/>
            <a:gd name="adj3" fmla="val 31109"/>
            <a:gd name="adj4" fmla="val -1322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=МИН(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C2:L2)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142875</xdr:colOff>
      <xdr:row>3</xdr:row>
      <xdr:rowOff>76200</xdr:rowOff>
    </xdr:from>
    <xdr:to>
      <xdr:col>5</xdr:col>
      <xdr:colOff>257175</xdr:colOff>
      <xdr:row>4</xdr:row>
      <xdr:rowOff>9524</xdr:rowOff>
    </xdr:to>
    <xdr:sp macro="" textlink="">
      <xdr:nvSpPr>
        <xdr:cNvPr id="3" name="Выноска 1 2"/>
        <xdr:cNvSpPr/>
      </xdr:nvSpPr>
      <xdr:spPr>
        <a:xfrm>
          <a:off x="2076450" y="952500"/>
          <a:ext cx="1333500" cy="257174"/>
        </a:xfrm>
        <a:prstGeom prst="borderCallout1">
          <a:avLst>
            <a:gd name="adj1" fmla="val 41145"/>
            <a:gd name="adj2" fmla="val -561"/>
            <a:gd name="adj3" fmla="val 31109"/>
            <a:gd name="adj4" fmla="val -1322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ru-RU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=МАКС(</a:t>
          </a:r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C2:L2)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323850</xdr:colOff>
      <xdr:row>2</xdr:row>
      <xdr:rowOff>85725</xdr:rowOff>
    </xdr:from>
    <xdr:to>
      <xdr:col>10</xdr:col>
      <xdr:colOff>295275</xdr:colOff>
      <xdr:row>3</xdr:row>
      <xdr:rowOff>19049</xdr:rowOff>
    </xdr:to>
    <xdr:sp macro="" textlink="">
      <xdr:nvSpPr>
        <xdr:cNvPr id="4" name="Выноска 1 3"/>
        <xdr:cNvSpPr/>
      </xdr:nvSpPr>
      <xdr:spPr>
        <a:xfrm>
          <a:off x="5305425" y="638175"/>
          <a:ext cx="1190625" cy="257174"/>
        </a:xfrm>
        <a:prstGeom prst="borderCallout1">
          <a:avLst>
            <a:gd name="adj1" fmla="val 48552"/>
            <a:gd name="adj2" fmla="val 97839"/>
            <a:gd name="adj3" fmla="val 138517"/>
            <a:gd name="adj4" fmla="val 134775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=ABS(C4-C3)</a:t>
          </a:r>
          <a:endParaRPr lang="ru-RU" sz="1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95250</xdr:colOff>
          <xdr:row>1</xdr:row>
          <xdr:rowOff>66675</xdr:rowOff>
        </xdr:from>
        <xdr:to>
          <xdr:col>10</xdr:col>
          <xdr:colOff>733425</xdr:colOff>
          <xdr:row>2</xdr:row>
          <xdr:rowOff>180975</xdr:rowOff>
        </xdr:to>
        <xdr:sp macro="" textlink="">
          <xdr:nvSpPr>
            <xdr:cNvPr id="34817" name="Object 1" hidden="1">
              <a:extLst>
                <a:ext uri="{63B3BB69-23CF-44E3-9099-C40C66FF867C}">
                  <a14:compatExt spid="_x0000_s348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95250</xdr:colOff>
          <xdr:row>1</xdr:row>
          <xdr:rowOff>66675</xdr:rowOff>
        </xdr:from>
        <xdr:to>
          <xdr:col>15</xdr:col>
          <xdr:colOff>0</xdr:colOff>
          <xdr:row>2</xdr:row>
          <xdr:rowOff>180975</xdr:rowOff>
        </xdr:to>
        <xdr:sp macro="" textlink="">
          <xdr:nvSpPr>
            <xdr:cNvPr id="34818" name="Object 2" hidden="1">
              <a:extLst>
                <a:ext uri="{63B3BB69-23CF-44E3-9099-C40C66FF867C}">
                  <a14:compatExt spid="_x0000_s348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95250</xdr:colOff>
          <xdr:row>1</xdr:row>
          <xdr:rowOff>66675</xdr:rowOff>
        </xdr:from>
        <xdr:to>
          <xdr:col>19</xdr:col>
          <xdr:colOff>0</xdr:colOff>
          <xdr:row>2</xdr:row>
          <xdr:rowOff>180975</xdr:rowOff>
        </xdr:to>
        <xdr:sp macro="" textlink="">
          <xdr:nvSpPr>
            <xdr:cNvPr id="34819" name="Object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76200</xdr:colOff>
          <xdr:row>30</xdr:row>
          <xdr:rowOff>38100</xdr:rowOff>
        </xdr:from>
        <xdr:to>
          <xdr:col>10</xdr:col>
          <xdr:colOff>733425</xdr:colOff>
          <xdr:row>31</xdr:row>
          <xdr:rowOff>161925</xdr:rowOff>
        </xdr:to>
        <xdr:sp macro="" textlink="">
          <xdr:nvSpPr>
            <xdr:cNvPr id="34823" name="Object 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28575</xdr:colOff>
          <xdr:row>30</xdr:row>
          <xdr:rowOff>85725</xdr:rowOff>
        </xdr:from>
        <xdr:to>
          <xdr:col>14</xdr:col>
          <xdr:colOff>561975</xdr:colOff>
          <xdr:row>31</xdr:row>
          <xdr:rowOff>209550</xdr:rowOff>
        </xdr:to>
        <xdr:sp macro="" textlink="">
          <xdr:nvSpPr>
            <xdr:cNvPr id="34824" name="Object 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38100</xdr:colOff>
          <xdr:row>30</xdr:row>
          <xdr:rowOff>76200</xdr:rowOff>
        </xdr:from>
        <xdr:to>
          <xdr:col>18</xdr:col>
          <xdr:colOff>571500</xdr:colOff>
          <xdr:row>31</xdr:row>
          <xdr:rowOff>200025</xdr:rowOff>
        </xdr:to>
        <xdr:sp macro="" textlink="">
          <xdr:nvSpPr>
            <xdr:cNvPr id="34825" name="Object 9" hidden="1">
              <a:extLst>
                <a:ext uri="{63B3BB69-23CF-44E3-9099-C40C66FF867C}">
                  <a14:compatExt spid="_x0000_s348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47625</xdr:colOff>
          <xdr:row>3</xdr:row>
          <xdr:rowOff>47625</xdr:rowOff>
        </xdr:from>
        <xdr:to>
          <xdr:col>13</xdr:col>
          <xdr:colOff>542925</xdr:colOff>
          <xdr:row>3</xdr:row>
          <xdr:rowOff>409575</xdr:rowOff>
        </xdr:to>
        <xdr:sp macro="" textlink="">
          <xdr:nvSpPr>
            <xdr:cNvPr id="44033" name="Object 1" hidden="1">
              <a:extLst>
                <a:ext uri="{63B3BB69-23CF-44E3-9099-C40C66FF867C}">
                  <a14:compatExt spid="_x0000_s44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1</xdr:row>
          <xdr:rowOff>133350</xdr:rowOff>
        </xdr:from>
        <xdr:to>
          <xdr:col>3</xdr:col>
          <xdr:colOff>552450</xdr:colOff>
          <xdr:row>1</xdr:row>
          <xdr:rowOff>447675</xdr:rowOff>
        </xdr:to>
        <xdr:sp macro="" textlink="">
          <xdr:nvSpPr>
            <xdr:cNvPr id="45058" name="Object 2" hidden="1">
              <a:extLst>
                <a:ext uri="{63B3BB69-23CF-44E3-9099-C40C66FF867C}">
                  <a14:compatExt spid="_x0000_s45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1</xdr:row>
          <xdr:rowOff>133350</xdr:rowOff>
        </xdr:from>
        <xdr:to>
          <xdr:col>9</xdr:col>
          <xdr:colOff>552450</xdr:colOff>
          <xdr:row>1</xdr:row>
          <xdr:rowOff>447675</xdr:rowOff>
        </xdr:to>
        <xdr:sp macro="" textlink="">
          <xdr:nvSpPr>
            <xdr:cNvPr id="45061" name="Object 5" hidden="1">
              <a:extLst>
                <a:ext uri="{63B3BB69-23CF-44E3-9099-C40C66FF867C}">
                  <a14:compatExt spid="_x0000_s45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1</xdr:row>
          <xdr:rowOff>133350</xdr:rowOff>
        </xdr:from>
        <xdr:to>
          <xdr:col>15</xdr:col>
          <xdr:colOff>552450</xdr:colOff>
          <xdr:row>1</xdr:row>
          <xdr:rowOff>447675</xdr:rowOff>
        </xdr:to>
        <xdr:sp macro="" textlink="">
          <xdr:nvSpPr>
            <xdr:cNvPr id="45062" name="Object 6" hidden="1">
              <a:extLst>
                <a:ext uri="{63B3BB69-23CF-44E3-9099-C40C66FF867C}">
                  <a14:compatExt spid="_x0000_s45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66675</xdr:colOff>
          <xdr:row>30</xdr:row>
          <xdr:rowOff>133350</xdr:rowOff>
        </xdr:from>
        <xdr:to>
          <xdr:col>3</xdr:col>
          <xdr:colOff>552450</xdr:colOff>
          <xdr:row>30</xdr:row>
          <xdr:rowOff>447675</xdr:rowOff>
        </xdr:to>
        <xdr:sp macro="" textlink="">
          <xdr:nvSpPr>
            <xdr:cNvPr id="45063" name="Object 7" hidden="1">
              <a:extLst>
                <a:ext uri="{63B3BB69-23CF-44E3-9099-C40C66FF867C}">
                  <a14:compatExt spid="_x0000_s45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30</xdr:row>
          <xdr:rowOff>133350</xdr:rowOff>
        </xdr:from>
        <xdr:to>
          <xdr:col>9</xdr:col>
          <xdr:colOff>552450</xdr:colOff>
          <xdr:row>30</xdr:row>
          <xdr:rowOff>447675</xdr:rowOff>
        </xdr:to>
        <xdr:sp macro="" textlink="">
          <xdr:nvSpPr>
            <xdr:cNvPr id="45064" name="Object 8" hidden="1">
              <a:extLst>
                <a:ext uri="{63B3BB69-23CF-44E3-9099-C40C66FF867C}">
                  <a14:compatExt spid="_x0000_s4506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30</xdr:row>
          <xdr:rowOff>133350</xdr:rowOff>
        </xdr:from>
        <xdr:to>
          <xdr:col>9</xdr:col>
          <xdr:colOff>552450</xdr:colOff>
          <xdr:row>30</xdr:row>
          <xdr:rowOff>447675</xdr:rowOff>
        </xdr:to>
        <xdr:sp macro="" textlink="">
          <xdr:nvSpPr>
            <xdr:cNvPr id="45065" name="Object 9" hidden="1">
              <a:extLst>
                <a:ext uri="{63B3BB69-23CF-44E3-9099-C40C66FF867C}">
                  <a14:compatExt spid="_x0000_s4506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30</xdr:row>
          <xdr:rowOff>133350</xdr:rowOff>
        </xdr:from>
        <xdr:to>
          <xdr:col>15</xdr:col>
          <xdr:colOff>552450</xdr:colOff>
          <xdr:row>30</xdr:row>
          <xdr:rowOff>447675</xdr:rowOff>
        </xdr:to>
        <xdr:sp macro="" textlink="">
          <xdr:nvSpPr>
            <xdr:cNvPr id="45066" name="Object 10" hidden="1">
              <a:extLst>
                <a:ext uri="{63B3BB69-23CF-44E3-9099-C40C66FF867C}">
                  <a14:compatExt spid="_x0000_s4506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66675</xdr:colOff>
          <xdr:row>30</xdr:row>
          <xdr:rowOff>133350</xdr:rowOff>
        </xdr:from>
        <xdr:to>
          <xdr:col>15</xdr:col>
          <xdr:colOff>552450</xdr:colOff>
          <xdr:row>30</xdr:row>
          <xdr:rowOff>447675</xdr:rowOff>
        </xdr:to>
        <xdr:sp macro="" textlink="">
          <xdr:nvSpPr>
            <xdr:cNvPr id="45067" name="Object 11" hidden="1">
              <a:extLst>
                <a:ext uri="{63B3BB69-23CF-44E3-9099-C40C66FF867C}">
                  <a14:compatExt spid="_x0000_s4506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85725</xdr:colOff>
          <xdr:row>4</xdr:row>
          <xdr:rowOff>66675</xdr:rowOff>
        </xdr:from>
        <xdr:to>
          <xdr:col>3</xdr:col>
          <xdr:colOff>552450</xdr:colOff>
          <xdr:row>4</xdr:row>
          <xdr:rowOff>438150</xdr:rowOff>
        </xdr:to>
        <xdr:sp macro="" textlink="">
          <xdr:nvSpPr>
            <xdr:cNvPr id="46082" name="Object 2" hidden="1">
              <a:extLst>
                <a:ext uri="{63B3BB69-23CF-44E3-9099-C40C66FF867C}">
                  <a14:compatExt spid="_x0000_s46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133350</xdr:colOff>
          <xdr:row>0</xdr:row>
          <xdr:rowOff>114300</xdr:rowOff>
        </xdr:from>
        <xdr:to>
          <xdr:col>3</xdr:col>
          <xdr:colOff>200025</xdr:colOff>
          <xdr:row>3</xdr:row>
          <xdr:rowOff>85725</xdr:rowOff>
        </xdr:to>
        <xdr:sp macro="" textlink="">
          <xdr:nvSpPr>
            <xdr:cNvPr id="46083" name="Object 3" hidden="1">
              <a:extLst>
                <a:ext uri="{63B3BB69-23CF-44E3-9099-C40C66FF867C}">
                  <a14:compatExt spid="_x0000_s46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57150</xdr:colOff>
          <xdr:row>0</xdr:row>
          <xdr:rowOff>66675</xdr:rowOff>
        </xdr:from>
        <xdr:to>
          <xdr:col>6</xdr:col>
          <xdr:colOff>723900</xdr:colOff>
          <xdr:row>3</xdr:row>
          <xdr:rowOff>95250</xdr:rowOff>
        </xdr:to>
        <xdr:sp macro="" textlink="">
          <xdr:nvSpPr>
            <xdr:cNvPr id="46084" name="Object 4" hidden="1">
              <a:extLst>
                <a:ext uri="{63B3BB69-23CF-44E3-9099-C40C66FF867C}">
                  <a14:compatExt spid="_x0000_s46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66675</xdr:colOff>
          <xdr:row>4</xdr:row>
          <xdr:rowOff>95250</xdr:rowOff>
        </xdr:from>
        <xdr:to>
          <xdr:col>4</xdr:col>
          <xdr:colOff>542925</xdr:colOff>
          <xdr:row>4</xdr:row>
          <xdr:rowOff>466725</xdr:rowOff>
        </xdr:to>
        <xdr:sp macro="" textlink="">
          <xdr:nvSpPr>
            <xdr:cNvPr id="46086" name="Object 6" hidden="1">
              <a:extLst>
                <a:ext uri="{63B3BB69-23CF-44E3-9099-C40C66FF867C}">
                  <a14:compatExt spid="_x0000_s46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600075</xdr:colOff>
          <xdr:row>0</xdr:row>
          <xdr:rowOff>142875</xdr:rowOff>
        </xdr:from>
        <xdr:to>
          <xdr:col>4</xdr:col>
          <xdr:colOff>171450</xdr:colOff>
          <xdr:row>2</xdr:row>
          <xdr:rowOff>114300</xdr:rowOff>
        </xdr:to>
        <xdr:sp macro="" textlink="">
          <xdr:nvSpPr>
            <xdr:cNvPr id="48129" name="Object 1" hidden="1">
              <a:extLst>
                <a:ext uri="{63B3BB69-23CF-44E3-9099-C40C66FF867C}">
                  <a14:compatExt spid="_x0000_s481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485775</xdr:colOff>
          <xdr:row>0</xdr:row>
          <xdr:rowOff>247650</xdr:rowOff>
        </xdr:from>
        <xdr:to>
          <xdr:col>8</xdr:col>
          <xdr:colOff>238125</xdr:colOff>
          <xdr:row>2</xdr:row>
          <xdr:rowOff>57150</xdr:rowOff>
        </xdr:to>
        <xdr:sp macro="" textlink="">
          <xdr:nvSpPr>
            <xdr:cNvPr id="48130" name="Object 2" hidden="1">
              <a:extLst>
                <a:ext uri="{63B3BB69-23CF-44E3-9099-C40C66FF867C}">
                  <a14:compatExt spid="_x0000_s481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0</xdr:row>
          <xdr:rowOff>114300</xdr:rowOff>
        </xdr:from>
        <xdr:to>
          <xdr:col>17</xdr:col>
          <xdr:colOff>9525</xdr:colOff>
          <xdr:row>2</xdr:row>
          <xdr:rowOff>57150</xdr:rowOff>
        </xdr:to>
        <xdr:sp macro="" textlink="">
          <xdr:nvSpPr>
            <xdr:cNvPr id="48131" name="Object 3" hidden="1">
              <a:extLst>
                <a:ext uri="{63B3BB69-23CF-44E3-9099-C40C66FF867C}">
                  <a14:compatExt spid="_x0000_s4813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209550</xdr:colOff>
          <xdr:row>0</xdr:row>
          <xdr:rowOff>161925</xdr:rowOff>
        </xdr:from>
        <xdr:to>
          <xdr:col>20</xdr:col>
          <xdr:colOff>209550</xdr:colOff>
          <xdr:row>1</xdr:row>
          <xdr:rowOff>342900</xdr:rowOff>
        </xdr:to>
        <xdr:sp macro="" textlink="">
          <xdr:nvSpPr>
            <xdr:cNvPr id="48132" name="Object 4" hidden="1">
              <a:extLst>
                <a:ext uri="{63B3BB69-23CF-44E3-9099-C40C66FF867C}">
                  <a14:compatExt spid="_x0000_s481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31751</xdr:colOff>
      <xdr:row>1</xdr:row>
      <xdr:rowOff>127000</xdr:rowOff>
    </xdr:from>
    <xdr:to>
      <xdr:col>17</xdr:col>
      <xdr:colOff>359834</xdr:colOff>
      <xdr:row>2</xdr:row>
      <xdr:rowOff>321733</xdr:rowOff>
    </xdr:to>
    <xdr:pic>
      <xdr:nvPicPr>
        <xdr:cNvPr id="2" name="Рисунок 1" descr="Безымянный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9584" y="317500"/>
          <a:ext cx="1555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137584</xdr:colOff>
      <xdr:row>1</xdr:row>
      <xdr:rowOff>148166</xdr:rowOff>
    </xdr:from>
    <xdr:to>
      <xdr:col>20</xdr:col>
      <xdr:colOff>433916</xdr:colOff>
      <xdr:row>2</xdr:row>
      <xdr:rowOff>192615</xdr:rowOff>
    </xdr:to>
    <xdr:pic>
      <xdr:nvPicPr>
        <xdr:cNvPr id="3" name="Рисунок 2" descr="Безымянный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917" y="338666"/>
          <a:ext cx="1523999" cy="446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31750</xdr:colOff>
      <xdr:row>1</xdr:row>
      <xdr:rowOff>158750</xdr:rowOff>
    </xdr:from>
    <xdr:to>
      <xdr:col>24</xdr:col>
      <xdr:colOff>359834</xdr:colOff>
      <xdr:row>2</xdr:row>
      <xdr:rowOff>353483</xdr:rowOff>
    </xdr:to>
    <xdr:pic>
      <xdr:nvPicPr>
        <xdr:cNvPr id="4" name="Рисунок 3" descr="Безымянный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86417" y="349250"/>
          <a:ext cx="1555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42333</xdr:colOff>
      <xdr:row>1</xdr:row>
      <xdr:rowOff>169334</xdr:rowOff>
    </xdr:from>
    <xdr:to>
      <xdr:col>27</xdr:col>
      <xdr:colOff>338666</xdr:colOff>
      <xdr:row>2</xdr:row>
      <xdr:rowOff>213783</xdr:rowOff>
    </xdr:to>
    <xdr:pic>
      <xdr:nvPicPr>
        <xdr:cNvPr id="5" name="Рисунок 4" descr="Безымянный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38500" y="359834"/>
          <a:ext cx="1523999" cy="4466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2</xdr:col>
      <xdr:colOff>590550</xdr:colOff>
      <xdr:row>5</xdr:row>
      <xdr:rowOff>38100</xdr:rowOff>
    </xdr:to>
    <xdr:sp macro="" textlink="">
      <xdr:nvSpPr>
        <xdr:cNvPr id="2" name="Скругленная прямоугольная выноска 1"/>
        <xdr:cNvSpPr/>
      </xdr:nvSpPr>
      <xdr:spPr>
        <a:xfrm>
          <a:off x="0" y="723900"/>
          <a:ext cx="2238375" cy="361950"/>
        </a:xfrm>
        <a:prstGeom prst="wedgeRoundRectCallout">
          <a:avLst>
            <a:gd name="adj1" fmla="val 13825"/>
            <a:gd name="adj2" fmla="val -138763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=НОРМ.СТ.ОБР(</a:t>
          </a:r>
          <a:r>
            <a:rPr lang="en-US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B1+0,5)</a:t>
          </a:r>
          <a:endParaRPr lang="ru-RU" sz="1400" b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image" Target="../media/image4.w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wmf"/><Relationship Id="rId13" Type="http://schemas.openxmlformats.org/officeDocument/2006/relationships/oleObject" Target="../embeddings/oleObject10.bin"/><Relationship Id="rId3" Type="http://schemas.openxmlformats.org/officeDocument/2006/relationships/oleObject" Target="../embeddings/oleObject5.bin"/><Relationship Id="rId7" Type="http://schemas.openxmlformats.org/officeDocument/2006/relationships/oleObject" Target="../embeddings/oleObject7.bin"/><Relationship Id="rId12" Type="http://schemas.openxmlformats.org/officeDocument/2006/relationships/image" Target="../media/image9.wmf"/><Relationship Id="rId2" Type="http://schemas.openxmlformats.org/officeDocument/2006/relationships/vmlDrawing" Target="../drawings/vmlDrawing4.vml"/><Relationship Id="rId16" Type="http://schemas.openxmlformats.org/officeDocument/2006/relationships/image" Target="../media/image11.wmf"/><Relationship Id="rId1" Type="http://schemas.openxmlformats.org/officeDocument/2006/relationships/drawing" Target="../drawings/drawing9.xml"/><Relationship Id="rId6" Type="http://schemas.openxmlformats.org/officeDocument/2006/relationships/image" Target="../media/image6.wmf"/><Relationship Id="rId11" Type="http://schemas.openxmlformats.org/officeDocument/2006/relationships/oleObject" Target="../embeddings/oleObject9.bin"/><Relationship Id="rId5" Type="http://schemas.openxmlformats.org/officeDocument/2006/relationships/oleObject" Target="../embeddings/oleObject6.bin"/><Relationship Id="rId15" Type="http://schemas.openxmlformats.org/officeDocument/2006/relationships/oleObject" Target="../embeddings/oleObject11.bin"/><Relationship Id="rId10" Type="http://schemas.openxmlformats.org/officeDocument/2006/relationships/image" Target="../media/image8.wmf"/><Relationship Id="rId4" Type="http://schemas.openxmlformats.org/officeDocument/2006/relationships/image" Target="../media/image5.wmf"/><Relationship Id="rId9" Type="http://schemas.openxmlformats.org/officeDocument/2006/relationships/oleObject" Target="../embeddings/oleObject8.bin"/><Relationship Id="rId14" Type="http://schemas.openxmlformats.org/officeDocument/2006/relationships/image" Target="../media/image10.wmf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wmf"/><Relationship Id="rId3" Type="http://schemas.openxmlformats.org/officeDocument/2006/relationships/oleObject" Target="../embeddings/oleObject12.bin"/><Relationship Id="rId7" Type="http://schemas.openxmlformats.org/officeDocument/2006/relationships/oleObject" Target="../embeddings/oleObject14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0.xml"/><Relationship Id="rId6" Type="http://schemas.openxmlformats.org/officeDocument/2006/relationships/image" Target="../media/image13.wmf"/><Relationship Id="rId5" Type="http://schemas.openxmlformats.org/officeDocument/2006/relationships/oleObject" Target="../embeddings/oleObject13.bin"/><Relationship Id="rId10" Type="http://schemas.openxmlformats.org/officeDocument/2006/relationships/image" Target="../media/image15.wmf"/><Relationship Id="rId4" Type="http://schemas.openxmlformats.org/officeDocument/2006/relationships/image" Target="../media/image12.wmf"/><Relationship Id="rId9" Type="http://schemas.openxmlformats.org/officeDocument/2006/relationships/oleObject" Target="../embeddings/oleObject15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8.bin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6.vml"/><Relationship Id="rId7" Type="http://schemas.openxmlformats.org/officeDocument/2006/relationships/image" Target="../media/image17.wmf"/><Relationship Id="rId12" Type="http://schemas.openxmlformats.org/officeDocument/2006/relationships/oleObject" Target="../embeddings/oleObject20.bin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17.bin"/><Relationship Id="rId11" Type="http://schemas.openxmlformats.org/officeDocument/2006/relationships/image" Target="../media/image19.wmf"/><Relationship Id="rId5" Type="http://schemas.openxmlformats.org/officeDocument/2006/relationships/image" Target="../media/image16.wmf"/><Relationship Id="rId15" Type="http://schemas.openxmlformats.org/officeDocument/2006/relationships/image" Target="../media/image21.emf"/><Relationship Id="rId10" Type="http://schemas.openxmlformats.org/officeDocument/2006/relationships/oleObject" Target="../embeddings/oleObject19.bin"/><Relationship Id="rId4" Type="http://schemas.openxmlformats.org/officeDocument/2006/relationships/oleObject" Target="../embeddings/oleObject16.bin"/><Relationship Id="rId9" Type="http://schemas.openxmlformats.org/officeDocument/2006/relationships/image" Target="../media/image18.wmf"/><Relationship Id="rId14" Type="http://schemas.openxmlformats.org/officeDocument/2006/relationships/oleObject" Target="../embeddings/oleObject21.bin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oleObject" Target="../embeddings/oleObject27.bin"/><Relationship Id="rId18" Type="http://schemas.openxmlformats.org/officeDocument/2006/relationships/image" Target="../media/image29.wmf"/><Relationship Id="rId26" Type="http://schemas.openxmlformats.org/officeDocument/2006/relationships/image" Target="../media/image33.wmf"/><Relationship Id="rId39" Type="http://schemas.openxmlformats.org/officeDocument/2006/relationships/oleObject" Target="../embeddings/oleObject40.bin"/><Relationship Id="rId21" Type="http://schemas.openxmlformats.org/officeDocument/2006/relationships/oleObject" Target="../embeddings/oleObject31.bin"/><Relationship Id="rId34" Type="http://schemas.openxmlformats.org/officeDocument/2006/relationships/image" Target="../media/image37.wmf"/><Relationship Id="rId42" Type="http://schemas.openxmlformats.org/officeDocument/2006/relationships/image" Target="../media/image41.wmf"/><Relationship Id="rId47" Type="http://schemas.openxmlformats.org/officeDocument/2006/relationships/oleObject" Target="../embeddings/oleObject44.bin"/><Relationship Id="rId50" Type="http://schemas.openxmlformats.org/officeDocument/2006/relationships/oleObject" Target="../embeddings/oleObject46.bin"/><Relationship Id="rId55" Type="http://schemas.openxmlformats.org/officeDocument/2006/relationships/image" Target="../media/image47.wmf"/><Relationship Id="rId63" Type="http://schemas.openxmlformats.org/officeDocument/2006/relationships/image" Target="../media/image51.wmf"/><Relationship Id="rId68" Type="http://schemas.openxmlformats.org/officeDocument/2006/relationships/oleObject" Target="../embeddings/oleObject56.bin"/><Relationship Id="rId76" Type="http://schemas.openxmlformats.org/officeDocument/2006/relationships/oleObject" Target="../embeddings/oleObject60.bin"/><Relationship Id="rId7" Type="http://schemas.openxmlformats.org/officeDocument/2006/relationships/oleObject" Target="../embeddings/oleObject24.bin"/><Relationship Id="rId71" Type="http://schemas.openxmlformats.org/officeDocument/2006/relationships/image" Target="../media/image54.wmf"/><Relationship Id="rId2" Type="http://schemas.openxmlformats.org/officeDocument/2006/relationships/vmlDrawing" Target="../drawings/vmlDrawing7.vml"/><Relationship Id="rId16" Type="http://schemas.openxmlformats.org/officeDocument/2006/relationships/image" Target="../media/image28.wmf"/><Relationship Id="rId29" Type="http://schemas.openxmlformats.org/officeDocument/2006/relationships/oleObject" Target="../embeddings/oleObject35.bin"/><Relationship Id="rId11" Type="http://schemas.openxmlformats.org/officeDocument/2006/relationships/oleObject" Target="../embeddings/oleObject26.bin"/><Relationship Id="rId24" Type="http://schemas.openxmlformats.org/officeDocument/2006/relationships/image" Target="../media/image32.wmf"/><Relationship Id="rId32" Type="http://schemas.openxmlformats.org/officeDocument/2006/relationships/image" Target="../media/image36.wmf"/><Relationship Id="rId37" Type="http://schemas.openxmlformats.org/officeDocument/2006/relationships/oleObject" Target="../embeddings/oleObject39.bin"/><Relationship Id="rId40" Type="http://schemas.openxmlformats.org/officeDocument/2006/relationships/image" Target="../media/image40.wmf"/><Relationship Id="rId45" Type="http://schemas.openxmlformats.org/officeDocument/2006/relationships/oleObject" Target="../embeddings/oleObject43.bin"/><Relationship Id="rId53" Type="http://schemas.openxmlformats.org/officeDocument/2006/relationships/image" Target="../media/image46.wmf"/><Relationship Id="rId58" Type="http://schemas.openxmlformats.org/officeDocument/2006/relationships/oleObject" Target="../embeddings/oleObject50.bin"/><Relationship Id="rId66" Type="http://schemas.openxmlformats.org/officeDocument/2006/relationships/oleObject" Target="../embeddings/oleObject55.bin"/><Relationship Id="rId74" Type="http://schemas.openxmlformats.org/officeDocument/2006/relationships/oleObject" Target="../embeddings/oleObject59.bin"/><Relationship Id="rId5" Type="http://schemas.openxmlformats.org/officeDocument/2006/relationships/oleObject" Target="../embeddings/oleObject23.bin"/><Relationship Id="rId15" Type="http://schemas.openxmlformats.org/officeDocument/2006/relationships/oleObject" Target="../embeddings/oleObject28.bin"/><Relationship Id="rId23" Type="http://schemas.openxmlformats.org/officeDocument/2006/relationships/oleObject" Target="../embeddings/oleObject32.bin"/><Relationship Id="rId28" Type="http://schemas.openxmlformats.org/officeDocument/2006/relationships/image" Target="../media/image34.wmf"/><Relationship Id="rId36" Type="http://schemas.openxmlformats.org/officeDocument/2006/relationships/image" Target="../media/image38.wmf"/><Relationship Id="rId49" Type="http://schemas.openxmlformats.org/officeDocument/2006/relationships/image" Target="../media/image44.wmf"/><Relationship Id="rId57" Type="http://schemas.openxmlformats.org/officeDocument/2006/relationships/image" Target="../media/image48.wmf"/><Relationship Id="rId61" Type="http://schemas.openxmlformats.org/officeDocument/2006/relationships/image" Target="../media/image50.wmf"/><Relationship Id="rId10" Type="http://schemas.openxmlformats.org/officeDocument/2006/relationships/image" Target="../media/image25.wmf"/><Relationship Id="rId19" Type="http://schemas.openxmlformats.org/officeDocument/2006/relationships/oleObject" Target="../embeddings/oleObject30.bin"/><Relationship Id="rId31" Type="http://schemas.openxmlformats.org/officeDocument/2006/relationships/oleObject" Target="../embeddings/oleObject36.bin"/><Relationship Id="rId44" Type="http://schemas.openxmlformats.org/officeDocument/2006/relationships/image" Target="../media/image42.wmf"/><Relationship Id="rId52" Type="http://schemas.openxmlformats.org/officeDocument/2006/relationships/oleObject" Target="../embeddings/oleObject47.bin"/><Relationship Id="rId60" Type="http://schemas.openxmlformats.org/officeDocument/2006/relationships/oleObject" Target="../embeddings/oleObject51.bin"/><Relationship Id="rId65" Type="http://schemas.openxmlformats.org/officeDocument/2006/relationships/oleObject" Target="../embeddings/oleObject54.bin"/><Relationship Id="rId73" Type="http://schemas.openxmlformats.org/officeDocument/2006/relationships/image" Target="../media/image55.wmf"/><Relationship Id="rId4" Type="http://schemas.openxmlformats.org/officeDocument/2006/relationships/image" Target="../media/image22.wmf"/><Relationship Id="rId9" Type="http://schemas.openxmlformats.org/officeDocument/2006/relationships/oleObject" Target="../embeddings/oleObject25.bin"/><Relationship Id="rId14" Type="http://schemas.openxmlformats.org/officeDocument/2006/relationships/image" Target="../media/image27.emf"/><Relationship Id="rId22" Type="http://schemas.openxmlformats.org/officeDocument/2006/relationships/image" Target="../media/image31.wmf"/><Relationship Id="rId27" Type="http://schemas.openxmlformats.org/officeDocument/2006/relationships/oleObject" Target="../embeddings/oleObject34.bin"/><Relationship Id="rId30" Type="http://schemas.openxmlformats.org/officeDocument/2006/relationships/image" Target="../media/image35.wmf"/><Relationship Id="rId35" Type="http://schemas.openxmlformats.org/officeDocument/2006/relationships/oleObject" Target="../embeddings/oleObject38.bin"/><Relationship Id="rId43" Type="http://schemas.openxmlformats.org/officeDocument/2006/relationships/oleObject" Target="../embeddings/oleObject42.bin"/><Relationship Id="rId48" Type="http://schemas.openxmlformats.org/officeDocument/2006/relationships/oleObject" Target="../embeddings/oleObject45.bin"/><Relationship Id="rId56" Type="http://schemas.openxmlformats.org/officeDocument/2006/relationships/oleObject" Target="../embeddings/oleObject49.bin"/><Relationship Id="rId64" Type="http://schemas.openxmlformats.org/officeDocument/2006/relationships/oleObject" Target="../embeddings/oleObject53.bin"/><Relationship Id="rId69" Type="http://schemas.openxmlformats.org/officeDocument/2006/relationships/image" Target="../media/image53.wmf"/><Relationship Id="rId77" Type="http://schemas.openxmlformats.org/officeDocument/2006/relationships/image" Target="../media/image57.wmf"/><Relationship Id="rId8" Type="http://schemas.openxmlformats.org/officeDocument/2006/relationships/image" Target="../media/image24.wmf"/><Relationship Id="rId51" Type="http://schemas.openxmlformats.org/officeDocument/2006/relationships/image" Target="../media/image45.wmf"/><Relationship Id="rId72" Type="http://schemas.openxmlformats.org/officeDocument/2006/relationships/oleObject" Target="../embeddings/oleObject58.bin"/><Relationship Id="rId3" Type="http://schemas.openxmlformats.org/officeDocument/2006/relationships/oleObject" Target="../embeddings/oleObject22.bin"/><Relationship Id="rId12" Type="http://schemas.openxmlformats.org/officeDocument/2006/relationships/image" Target="../media/image26.wmf"/><Relationship Id="rId17" Type="http://schemas.openxmlformats.org/officeDocument/2006/relationships/oleObject" Target="../embeddings/oleObject29.bin"/><Relationship Id="rId25" Type="http://schemas.openxmlformats.org/officeDocument/2006/relationships/oleObject" Target="../embeddings/oleObject33.bin"/><Relationship Id="rId33" Type="http://schemas.openxmlformats.org/officeDocument/2006/relationships/oleObject" Target="../embeddings/oleObject37.bin"/><Relationship Id="rId38" Type="http://schemas.openxmlformats.org/officeDocument/2006/relationships/image" Target="../media/image39.wmf"/><Relationship Id="rId46" Type="http://schemas.openxmlformats.org/officeDocument/2006/relationships/image" Target="../media/image43.wmf"/><Relationship Id="rId59" Type="http://schemas.openxmlformats.org/officeDocument/2006/relationships/image" Target="../media/image49.wmf"/><Relationship Id="rId67" Type="http://schemas.openxmlformats.org/officeDocument/2006/relationships/image" Target="../media/image52.wmf"/><Relationship Id="rId20" Type="http://schemas.openxmlformats.org/officeDocument/2006/relationships/image" Target="../media/image30.wmf"/><Relationship Id="rId41" Type="http://schemas.openxmlformats.org/officeDocument/2006/relationships/oleObject" Target="../embeddings/oleObject41.bin"/><Relationship Id="rId54" Type="http://schemas.openxmlformats.org/officeDocument/2006/relationships/oleObject" Target="../embeddings/oleObject48.bin"/><Relationship Id="rId62" Type="http://schemas.openxmlformats.org/officeDocument/2006/relationships/oleObject" Target="../embeddings/oleObject52.bin"/><Relationship Id="rId70" Type="http://schemas.openxmlformats.org/officeDocument/2006/relationships/oleObject" Target="../embeddings/oleObject57.bin"/><Relationship Id="rId75" Type="http://schemas.openxmlformats.org/officeDocument/2006/relationships/image" Target="../media/image56.wmf"/><Relationship Id="rId1" Type="http://schemas.openxmlformats.org/officeDocument/2006/relationships/drawing" Target="../drawings/drawing12.xml"/><Relationship Id="rId6" Type="http://schemas.openxmlformats.org/officeDocument/2006/relationships/image" Target="../media/image23.w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63.bin"/><Relationship Id="rId3" Type="http://schemas.openxmlformats.org/officeDocument/2006/relationships/vmlDrawing" Target="../drawings/vmlDrawing8.vml"/><Relationship Id="rId7" Type="http://schemas.openxmlformats.org/officeDocument/2006/relationships/image" Target="../media/image59.emf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62.bin"/><Relationship Id="rId5" Type="http://schemas.openxmlformats.org/officeDocument/2006/relationships/image" Target="../media/image58.wmf"/><Relationship Id="rId4" Type="http://schemas.openxmlformats.org/officeDocument/2006/relationships/oleObject" Target="../embeddings/oleObject61.bin"/><Relationship Id="rId9" Type="http://schemas.openxmlformats.org/officeDocument/2006/relationships/image" Target="../media/image60.wmf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image" Target="../media/image62.wmf"/><Relationship Id="rId2" Type="http://schemas.openxmlformats.org/officeDocument/2006/relationships/drawing" Target="../drawings/drawing14.xml"/><Relationship Id="rId1" Type="http://schemas.openxmlformats.org/officeDocument/2006/relationships/hyperlink" Target="http://www.mathprofi.ru/formula_dispersii_standartnoe_otklonenie_koefficient_variacii.html" TargetMode="External"/><Relationship Id="rId6" Type="http://schemas.openxmlformats.org/officeDocument/2006/relationships/oleObject" Target="../embeddings/oleObject65.bin"/><Relationship Id="rId5" Type="http://schemas.openxmlformats.org/officeDocument/2006/relationships/image" Target="../media/image61.wmf"/><Relationship Id="rId4" Type="http://schemas.openxmlformats.org/officeDocument/2006/relationships/oleObject" Target="../embeddings/oleObject6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3.emf"/><Relationship Id="rId3" Type="http://schemas.openxmlformats.org/officeDocument/2006/relationships/drawing" Target="../drawings/drawing15.xml"/><Relationship Id="rId7" Type="http://schemas.openxmlformats.org/officeDocument/2006/relationships/oleObject" Target="../embeddings/oleObject67.bin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mathprofi.ru/formula_dispersii_standartnoe_otklonenie_koefficient_variacii.html" TargetMode="External"/><Relationship Id="rId6" Type="http://schemas.openxmlformats.org/officeDocument/2006/relationships/image" Target="../media/image61.wmf"/><Relationship Id="rId5" Type="http://schemas.openxmlformats.org/officeDocument/2006/relationships/oleObject" Target="../embeddings/oleObject66.bin"/><Relationship Id="rId4" Type="http://schemas.openxmlformats.org/officeDocument/2006/relationships/vmlDrawing" Target="../drawings/vmlDrawing10.v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wmf"/><Relationship Id="rId13" Type="http://schemas.openxmlformats.org/officeDocument/2006/relationships/oleObject" Target="../embeddings/oleObject73.bin"/><Relationship Id="rId3" Type="http://schemas.openxmlformats.org/officeDocument/2006/relationships/oleObject" Target="../embeddings/oleObject68.bin"/><Relationship Id="rId7" Type="http://schemas.openxmlformats.org/officeDocument/2006/relationships/oleObject" Target="../embeddings/oleObject70.bin"/><Relationship Id="rId12" Type="http://schemas.openxmlformats.org/officeDocument/2006/relationships/image" Target="../media/image68.wmf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6.xml"/><Relationship Id="rId6" Type="http://schemas.openxmlformats.org/officeDocument/2006/relationships/image" Target="../media/image65.wmf"/><Relationship Id="rId11" Type="http://schemas.openxmlformats.org/officeDocument/2006/relationships/oleObject" Target="../embeddings/oleObject72.bin"/><Relationship Id="rId5" Type="http://schemas.openxmlformats.org/officeDocument/2006/relationships/oleObject" Target="../embeddings/oleObject69.bin"/><Relationship Id="rId10" Type="http://schemas.openxmlformats.org/officeDocument/2006/relationships/image" Target="../media/image67.wmf"/><Relationship Id="rId4" Type="http://schemas.openxmlformats.org/officeDocument/2006/relationships/image" Target="../media/image64.wmf"/><Relationship Id="rId9" Type="http://schemas.openxmlformats.org/officeDocument/2006/relationships/oleObject" Target="../embeddings/oleObject71.bin"/><Relationship Id="rId14" Type="http://schemas.openxmlformats.org/officeDocument/2006/relationships/image" Target="../media/image69.wmf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74.bin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7.xml"/><Relationship Id="rId6" Type="http://schemas.openxmlformats.org/officeDocument/2006/relationships/image" Target="../media/image71.wmf"/><Relationship Id="rId5" Type="http://schemas.openxmlformats.org/officeDocument/2006/relationships/oleObject" Target="../embeddings/oleObject75.bin"/><Relationship Id="rId4" Type="http://schemas.openxmlformats.org/officeDocument/2006/relationships/image" Target="../media/image70.wmf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78.bin"/><Relationship Id="rId13" Type="http://schemas.openxmlformats.org/officeDocument/2006/relationships/image" Target="../media/image76.w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73.emf"/><Relationship Id="rId12" Type="http://schemas.openxmlformats.org/officeDocument/2006/relationships/oleObject" Target="../embeddings/oleObject80.bin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77.bin"/><Relationship Id="rId11" Type="http://schemas.openxmlformats.org/officeDocument/2006/relationships/image" Target="../media/image75.wmf"/><Relationship Id="rId5" Type="http://schemas.openxmlformats.org/officeDocument/2006/relationships/image" Target="../media/image72.emf"/><Relationship Id="rId15" Type="http://schemas.openxmlformats.org/officeDocument/2006/relationships/image" Target="../media/image77.emf"/><Relationship Id="rId10" Type="http://schemas.openxmlformats.org/officeDocument/2006/relationships/oleObject" Target="../embeddings/oleObject79.bin"/><Relationship Id="rId4" Type="http://schemas.openxmlformats.org/officeDocument/2006/relationships/oleObject" Target="../embeddings/oleObject76.bin"/><Relationship Id="rId9" Type="http://schemas.openxmlformats.org/officeDocument/2006/relationships/image" Target="../media/image74.emf"/><Relationship Id="rId14" Type="http://schemas.openxmlformats.org/officeDocument/2006/relationships/oleObject" Target="../embeddings/oleObject81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84.bin"/><Relationship Id="rId3" Type="http://schemas.openxmlformats.org/officeDocument/2006/relationships/vmlDrawing" Target="../drawings/vmlDrawing14.vml"/><Relationship Id="rId7" Type="http://schemas.openxmlformats.org/officeDocument/2006/relationships/image" Target="../media/image82.emf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83.bin"/><Relationship Id="rId11" Type="http://schemas.openxmlformats.org/officeDocument/2006/relationships/image" Target="../media/image84.wmf"/><Relationship Id="rId5" Type="http://schemas.openxmlformats.org/officeDocument/2006/relationships/image" Target="../media/image81.emf"/><Relationship Id="rId10" Type="http://schemas.openxmlformats.org/officeDocument/2006/relationships/oleObject" Target="../embeddings/oleObject85.bin"/><Relationship Id="rId4" Type="http://schemas.openxmlformats.org/officeDocument/2006/relationships/oleObject" Target="../embeddings/oleObject82.bin"/><Relationship Id="rId9" Type="http://schemas.openxmlformats.org/officeDocument/2006/relationships/image" Target="../media/image83.emf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7.wmf"/><Relationship Id="rId3" Type="http://schemas.openxmlformats.org/officeDocument/2006/relationships/oleObject" Target="../embeddings/oleObject86.bin"/><Relationship Id="rId7" Type="http://schemas.openxmlformats.org/officeDocument/2006/relationships/oleObject" Target="../embeddings/oleObject89.bin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22.xml"/><Relationship Id="rId6" Type="http://schemas.openxmlformats.org/officeDocument/2006/relationships/oleObject" Target="../embeddings/oleObject88.bin"/><Relationship Id="rId5" Type="http://schemas.openxmlformats.org/officeDocument/2006/relationships/oleObject" Target="../embeddings/oleObject87.bin"/><Relationship Id="rId10" Type="http://schemas.openxmlformats.org/officeDocument/2006/relationships/oleObject" Target="../embeddings/oleObject91.bin"/><Relationship Id="rId4" Type="http://schemas.openxmlformats.org/officeDocument/2006/relationships/image" Target="../media/image86.wmf"/><Relationship Id="rId9" Type="http://schemas.openxmlformats.org/officeDocument/2006/relationships/oleObject" Target="../embeddings/oleObject9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92.bin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23.xml"/><Relationship Id="rId4" Type="http://schemas.openxmlformats.org/officeDocument/2006/relationships/image" Target="../media/image88.wmf"/></Relationships>
</file>

<file path=xl/worksheets/_rels/sheet3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97.bin"/><Relationship Id="rId3" Type="http://schemas.openxmlformats.org/officeDocument/2006/relationships/oleObject" Target="../embeddings/oleObject93.bin"/><Relationship Id="rId7" Type="http://schemas.openxmlformats.org/officeDocument/2006/relationships/oleObject" Target="../embeddings/oleObject96.bin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4.xml"/><Relationship Id="rId6" Type="http://schemas.openxmlformats.org/officeDocument/2006/relationships/oleObject" Target="../embeddings/oleObject95.bin"/><Relationship Id="rId11" Type="http://schemas.openxmlformats.org/officeDocument/2006/relationships/oleObject" Target="../embeddings/oleObject100.bin"/><Relationship Id="rId5" Type="http://schemas.openxmlformats.org/officeDocument/2006/relationships/oleObject" Target="../embeddings/oleObject94.bin"/><Relationship Id="rId10" Type="http://schemas.openxmlformats.org/officeDocument/2006/relationships/oleObject" Target="../embeddings/oleObject99.bin"/><Relationship Id="rId4" Type="http://schemas.openxmlformats.org/officeDocument/2006/relationships/image" Target="../media/image89.wmf"/><Relationship Id="rId9" Type="http://schemas.openxmlformats.org/officeDocument/2006/relationships/oleObject" Target="../embeddings/oleObject98.bin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3.bin"/><Relationship Id="rId3" Type="http://schemas.openxmlformats.org/officeDocument/2006/relationships/vmlDrawing" Target="../drawings/vmlDrawing18.vml"/><Relationship Id="rId7" Type="http://schemas.openxmlformats.org/officeDocument/2006/relationships/image" Target="../media/image91.emf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9.bin"/><Relationship Id="rId6" Type="http://schemas.openxmlformats.org/officeDocument/2006/relationships/oleObject" Target="../embeddings/oleObject102.bin"/><Relationship Id="rId11" Type="http://schemas.openxmlformats.org/officeDocument/2006/relationships/image" Target="../media/image93.emf"/><Relationship Id="rId5" Type="http://schemas.openxmlformats.org/officeDocument/2006/relationships/image" Target="../media/image90.emf"/><Relationship Id="rId10" Type="http://schemas.openxmlformats.org/officeDocument/2006/relationships/oleObject" Target="../embeddings/oleObject104.bin"/><Relationship Id="rId4" Type="http://schemas.openxmlformats.org/officeDocument/2006/relationships/oleObject" Target="../embeddings/oleObject101.bin"/><Relationship Id="rId9" Type="http://schemas.openxmlformats.org/officeDocument/2006/relationships/image" Target="../media/image92.emf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07.bin"/><Relationship Id="rId3" Type="http://schemas.openxmlformats.org/officeDocument/2006/relationships/vmlDrawing" Target="../drawings/vmlDrawing19.vml"/><Relationship Id="rId7" Type="http://schemas.openxmlformats.org/officeDocument/2006/relationships/image" Target="../media/image95.emf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1.bin"/><Relationship Id="rId6" Type="http://schemas.openxmlformats.org/officeDocument/2006/relationships/oleObject" Target="../embeddings/oleObject106.bin"/><Relationship Id="rId5" Type="http://schemas.openxmlformats.org/officeDocument/2006/relationships/image" Target="../media/image94.emf"/><Relationship Id="rId4" Type="http://schemas.openxmlformats.org/officeDocument/2006/relationships/oleObject" Target="../embeddings/oleObject105.bin"/><Relationship Id="rId9" Type="http://schemas.openxmlformats.org/officeDocument/2006/relationships/oleObject" Target="../embeddings/oleObject108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E27" sqref="E27"/>
    </sheetView>
  </sheetViews>
  <sheetFormatPr defaultRowHeight="15" x14ac:dyDescent="0.25"/>
  <sheetData>
    <row r="1" spans="1:3" ht="21" thickBot="1" x14ac:dyDescent="0.3">
      <c r="A1" s="1" t="s">
        <v>0</v>
      </c>
      <c r="B1" s="2" t="s">
        <v>1</v>
      </c>
    </row>
    <row r="2" spans="1:3" ht="19.5" thickBot="1" x14ac:dyDescent="0.3">
      <c r="A2" s="3">
        <v>2</v>
      </c>
      <c r="B2" s="4">
        <v>3</v>
      </c>
    </row>
    <row r="3" spans="1:3" ht="19.5" thickBot="1" x14ac:dyDescent="0.3">
      <c r="A3" s="3">
        <v>3</v>
      </c>
      <c r="B3" s="4">
        <v>5</v>
      </c>
    </row>
    <row r="4" spans="1:3" ht="19.5" thickBot="1" x14ac:dyDescent="0.3">
      <c r="A4" s="3">
        <v>4</v>
      </c>
      <c r="B4" s="4">
        <v>8</v>
      </c>
    </row>
    <row r="5" spans="1:3" ht="19.5" thickBot="1" x14ac:dyDescent="0.3">
      <c r="A5" s="3">
        <v>5</v>
      </c>
      <c r="B5" s="4">
        <v>6</v>
      </c>
    </row>
    <row r="6" spans="1:3" ht="19.5" thickBot="1" x14ac:dyDescent="0.3">
      <c r="A6" s="3">
        <v>6</v>
      </c>
      <c r="B6" s="4">
        <v>3</v>
      </c>
    </row>
    <row r="7" spans="1:3" ht="19.5" thickBot="1" x14ac:dyDescent="0.3">
      <c r="A7" s="3" t="s">
        <v>2</v>
      </c>
      <c r="B7" s="4">
        <v>25</v>
      </c>
    </row>
    <row r="9" spans="1:3" ht="15.75" thickBot="1" x14ac:dyDescent="0.3"/>
    <row r="10" spans="1:3" ht="21" thickBot="1" x14ac:dyDescent="0.3">
      <c r="A10" s="5" t="s">
        <v>3</v>
      </c>
      <c r="B10" s="6" t="s">
        <v>5</v>
      </c>
      <c r="C10" s="6" t="s">
        <v>4</v>
      </c>
    </row>
    <row r="11" spans="1:3" ht="19.5" thickBot="1" x14ac:dyDescent="0.3">
      <c r="A11" s="7">
        <v>2</v>
      </c>
      <c r="B11" s="9">
        <v>0.12</v>
      </c>
      <c r="C11" s="8">
        <v>3</v>
      </c>
    </row>
    <row r="12" spans="1:3" ht="19.5" thickBot="1" x14ac:dyDescent="0.3">
      <c r="A12" s="7">
        <v>3</v>
      </c>
      <c r="B12" s="9">
        <v>0.2</v>
      </c>
      <c r="C12" s="8">
        <v>5</v>
      </c>
    </row>
    <row r="13" spans="1:3" ht="19.5" thickBot="1" x14ac:dyDescent="0.3">
      <c r="A13" s="7">
        <v>4</v>
      </c>
      <c r="B13" s="9">
        <v>0.32</v>
      </c>
      <c r="C13" s="8">
        <v>8</v>
      </c>
    </row>
    <row r="14" spans="1:3" ht="19.5" thickBot="1" x14ac:dyDescent="0.3">
      <c r="A14" s="7">
        <v>5</v>
      </c>
      <c r="B14" s="9">
        <v>0.24</v>
      </c>
      <c r="C14" s="8">
        <v>6</v>
      </c>
    </row>
    <row r="15" spans="1:3" ht="19.5" thickBot="1" x14ac:dyDescent="0.3">
      <c r="A15" s="7">
        <v>6</v>
      </c>
      <c r="B15" s="9">
        <v>0.12</v>
      </c>
      <c r="C15" s="8">
        <v>3</v>
      </c>
    </row>
    <row r="16" spans="1:3" ht="19.5" thickBot="1" x14ac:dyDescent="0.3">
      <c r="A16" s="7" t="s">
        <v>2</v>
      </c>
      <c r="B16" s="8">
        <v>1</v>
      </c>
      <c r="C16" s="8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opLeftCell="A19" workbookViewId="0">
      <selection activeCell="B27" sqref="B27:C33"/>
    </sheetView>
  </sheetViews>
  <sheetFormatPr defaultRowHeight="15" x14ac:dyDescent="0.25"/>
  <cols>
    <col min="5" max="5" width="9.42578125" bestFit="1" customWidth="1"/>
  </cols>
  <sheetData>
    <row r="1" spans="1:11" ht="18.75" x14ac:dyDescent="0.3">
      <c r="A1" s="10">
        <v>7.5</v>
      </c>
      <c r="B1" s="10">
        <v>7.6</v>
      </c>
      <c r="C1" s="10">
        <v>8.6999999999999993</v>
      </c>
      <c r="D1" s="12"/>
      <c r="E1" s="14" t="s">
        <v>6</v>
      </c>
      <c r="F1" s="14" t="s">
        <v>7</v>
      </c>
      <c r="G1" s="14" t="s">
        <v>8</v>
      </c>
      <c r="H1" s="14" t="s">
        <v>9</v>
      </c>
      <c r="I1" s="14" t="s">
        <v>10</v>
      </c>
      <c r="J1" s="14" t="s">
        <v>11</v>
      </c>
      <c r="K1" s="13"/>
    </row>
    <row r="2" spans="1:11" ht="18.75" x14ac:dyDescent="0.3">
      <c r="A2" s="10">
        <v>6.1</v>
      </c>
      <c r="B2" s="10">
        <v>10.6</v>
      </c>
      <c r="C2" s="10">
        <v>9.8000000000000007</v>
      </c>
      <c r="E2" s="15">
        <v>5.8</v>
      </c>
      <c r="F2" s="15">
        <v>6.1</v>
      </c>
      <c r="G2" s="15">
        <v>7.5</v>
      </c>
      <c r="H2" s="15">
        <v>8.6999999999999993</v>
      </c>
      <c r="I2" s="15">
        <v>9.8000000000000007</v>
      </c>
      <c r="J2" s="16">
        <v>10.6</v>
      </c>
      <c r="K2" s="13"/>
    </row>
    <row r="3" spans="1:11" ht="18.75" x14ac:dyDescent="0.3">
      <c r="A3" s="10">
        <v>7</v>
      </c>
      <c r="B3" s="10">
        <v>6</v>
      </c>
      <c r="C3" s="10">
        <v>8.3000000000000007</v>
      </c>
      <c r="E3" s="15"/>
      <c r="F3" s="15">
        <v>6</v>
      </c>
      <c r="G3" s="15">
        <v>7.6</v>
      </c>
      <c r="H3" s="15">
        <v>8.3000000000000007</v>
      </c>
      <c r="I3" s="15">
        <v>9.5</v>
      </c>
      <c r="J3" s="16"/>
      <c r="K3" s="13"/>
    </row>
    <row r="4" spans="1:11" ht="18.75" x14ac:dyDescent="0.3">
      <c r="A4" s="10">
        <v>6</v>
      </c>
      <c r="B4" s="10">
        <v>8.1999999999999993</v>
      </c>
      <c r="C4" s="10">
        <v>8.5</v>
      </c>
      <c r="E4" s="15"/>
      <c r="F4" s="15">
        <v>6</v>
      </c>
      <c r="G4" s="15">
        <v>7</v>
      </c>
      <c r="H4" s="15">
        <v>8.1999999999999993</v>
      </c>
      <c r="I4" s="15">
        <v>9.6</v>
      </c>
      <c r="J4" s="16"/>
      <c r="K4" s="13"/>
    </row>
    <row r="5" spans="1:11" ht="18.75" x14ac:dyDescent="0.3">
      <c r="A5" s="10">
        <v>7.4</v>
      </c>
      <c r="B5" s="10">
        <v>7.1</v>
      </c>
      <c r="C5" s="10">
        <v>9.5</v>
      </c>
      <c r="E5" s="15"/>
      <c r="F5" s="15">
        <v>6.8</v>
      </c>
      <c r="G5" s="15">
        <v>7.4</v>
      </c>
      <c r="H5" s="15">
        <v>8.5</v>
      </c>
      <c r="I5" s="15">
        <v>9.1999999999999993</v>
      </c>
      <c r="J5" s="16"/>
      <c r="K5" s="13"/>
    </row>
    <row r="6" spans="1:11" ht="18.75" x14ac:dyDescent="0.3">
      <c r="A6" s="10">
        <v>6.8</v>
      </c>
      <c r="B6" s="10">
        <v>9.6</v>
      </c>
      <c r="C6" s="10">
        <v>6.3</v>
      </c>
      <c r="E6" s="15"/>
      <c r="F6" s="15">
        <v>6.3</v>
      </c>
      <c r="G6" s="15">
        <v>7.5</v>
      </c>
      <c r="H6" s="15">
        <v>8</v>
      </c>
      <c r="I6" s="15"/>
      <c r="J6" s="16"/>
      <c r="K6" s="13"/>
    </row>
    <row r="7" spans="1:11" ht="18.75" x14ac:dyDescent="0.3">
      <c r="A7" s="11">
        <v>6.3</v>
      </c>
      <c r="B7" s="10">
        <v>8.5</v>
      </c>
      <c r="C7" s="10">
        <v>5.8</v>
      </c>
      <c r="E7" s="15"/>
      <c r="F7" s="15">
        <v>6.5</v>
      </c>
      <c r="G7" s="15">
        <v>7.2</v>
      </c>
      <c r="H7" s="15">
        <v>8</v>
      </c>
      <c r="I7" s="15"/>
      <c r="J7" s="16"/>
      <c r="K7" s="13"/>
    </row>
    <row r="8" spans="1:11" ht="18.75" x14ac:dyDescent="0.3">
      <c r="A8" s="10">
        <v>7.5</v>
      </c>
      <c r="B8" s="10">
        <v>9.1999999999999993</v>
      </c>
      <c r="C8" s="10">
        <v>7.2</v>
      </c>
      <c r="E8" s="15"/>
      <c r="F8" s="15"/>
      <c r="G8" s="15">
        <v>7</v>
      </c>
      <c r="H8" s="15"/>
      <c r="I8" s="15"/>
      <c r="J8" s="16"/>
      <c r="K8" s="13"/>
    </row>
    <row r="9" spans="1:11" ht="18.75" x14ac:dyDescent="0.3">
      <c r="A9" s="10">
        <v>7</v>
      </c>
      <c r="B9" s="10">
        <v>8</v>
      </c>
      <c r="C9" s="10">
        <v>7.5</v>
      </c>
      <c r="E9" s="15"/>
      <c r="F9" s="15"/>
      <c r="G9" s="15">
        <v>7.5</v>
      </c>
      <c r="H9" s="15"/>
      <c r="I9" s="15"/>
      <c r="J9" s="16"/>
      <c r="K9" s="13"/>
    </row>
    <row r="10" spans="1:11" ht="18.75" x14ac:dyDescent="0.3">
      <c r="A10" s="10">
        <v>7.5</v>
      </c>
      <c r="B10" s="10">
        <v>8</v>
      </c>
      <c r="C10" s="10">
        <v>6.5</v>
      </c>
      <c r="E10" s="15"/>
      <c r="F10" s="15"/>
      <c r="G10" s="15">
        <v>7.5</v>
      </c>
      <c r="H10" s="15"/>
      <c r="I10" s="15"/>
      <c r="J10" s="16"/>
      <c r="K10" s="13"/>
    </row>
    <row r="12" spans="1:11" ht="20.25" x14ac:dyDescent="0.35">
      <c r="A12" s="10" t="s">
        <v>12</v>
      </c>
      <c r="B12" s="10"/>
      <c r="C12" s="10" t="s">
        <v>0</v>
      </c>
      <c r="D12" s="10" t="s">
        <v>1</v>
      </c>
      <c r="E12" s="10" t="s">
        <v>13</v>
      </c>
      <c r="F12" s="10" t="s">
        <v>15</v>
      </c>
      <c r="G12" s="17"/>
      <c r="H12" s="17"/>
      <c r="I12" s="17"/>
      <c r="J12" s="17"/>
      <c r="K12" s="17"/>
    </row>
    <row r="13" spans="1:11" ht="18.75" x14ac:dyDescent="0.3">
      <c r="A13" s="10">
        <v>5.7</v>
      </c>
      <c r="B13" s="10">
        <v>6.7</v>
      </c>
      <c r="C13" s="10">
        <f>(B13+A13)/2</f>
        <v>6.2</v>
      </c>
      <c r="D13" s="10">
        <v>7</v>
      </c>
      <c r="E13" s="19">
        <f>D13/$D$18</f>
        <v>0.23333333333333334</v>
      </c>
      <c r="F13" s="19">
        <f>E13</f>
        <v>0.23333333333333334</v>
      </c>
      <c r="G13" s="17"/>
      <c r="H13" s="17"/>
      <c r="I13" s="17"/>
      <c r="J13" s="17"/>
      <c r="K13" s="17"/>
    </row>
    <row r="14" spans="1:11" ht="18.75" x14ac:dyDescent="0.3">
      <c r="A14" s="10">
        <v>6.7</v>
      </c>
      <c r="B14" s="10">
        <v>7.7</v>
      </c>
      <c r="C14" s="10">
        <f>(B14+A14)/2</f>
        <v>7.2</v>
      </c>
      <c r="D14" s="10">
        <v>11</v>
      </c>
      <c r="E14" s="19">
        <f>D14/$D$18</f>
        <v>0.36666666666666664</v>
      </c>
      <c r="F14" s="19">
        <f>F13+E14</f>
        <v>0.6</v>
      </c>
      <c r="G14" s="17"/>
      <c r="H14" s="17"/>
      <c r="I14" s="17"/>
      <c r="J14" s="17"/>
      <c r="K14" s="17"/>
    </row>
    <row r="15" spans="1:11" ht="18.75" x14ac:dyDescent="0.3">
      <c r="A15" s="10">
        <v>7.7</v>
      </c>
      <c r="B15" s="10">
        <v>8.6999999999999993</v>
      </c>
      <c r="C15" s="10">
        <f>(B15+A15)/2</f>
        <v>8.1999999999999993</v>
      </c>
      <c r="D15" s="10">
        <v>6</v>
      </c>
      <c r="E15" s="19">
        <f>D15/$D$18</f>
        <v>0.2</v>
      </c>
      <c r="F15" s="19">
        <f>F14+E15</f>
        <v>0.8</v>
      </c>
      <c r="G15" s="17"/>
      <c r="H15" s="17"/>
      <c r="I15" s="17"/>
      <c r="J15" s="17"/>
      <c r="K15" s="17"/>
    </row>
    <row r="16" spans="1:11" ht="18.75" x14ac:dyDescent="0.3">
      <c r="A16" s="10">
        <v>8.6999999999999993</v>
      </c>
      <c r="B16" s="10">
        <v>9.6999999999999993</v>
      </c>
      <c r="C16" s="10">
        <f>(B16+A16)/2</f>
        <v>9.1999999999999993</v>
      </c>
      <c r="D16" s="10">
        <v>4</v>
      </c>
      <c r="E16" s="19">
        <f>D16/$D$18</f>
        <v>0.13333333333333333</v>
      </c>
      <c r="F16" s="19">
        <f>F15+E16</f>
        <v>0.93333333333333335</v>
      </c>
      <c r="G16" s="17"/>
      <c r="H16" s="17"/>
      <c r="I16" s="17"/>
      <c r="J16" s="17"/>
      <c r="K16" s="17"/>
    </row>
    <row r="17" spans="1:11" ht="18.75" x14ac:dyDescent="0.3">
      <c r="A17" s="10">
        <v>9.6999999999999993</v>
      </c>
      <c r="B17" s="10">
        <v>10.7</v>
      </c>
      <c r="C17" s="10">
        <f>(B17+A17)/2</f>
        <v>10.199999999999999</v>
      </c>
      <c r="D17" s="10">
        <v>2</v>
      </c>
      <c r="E17" s="19">
        <f>D17/$D$18</f>
        <v>6.6666666666666666E-2</v>
      </c>
      <c r="F17" s="19">
        <f>F16+E17</f>
        <v>1</v>
      </c>
      <c r="G17" s="17"/>
      <c r="H17" s="17"/>
      <c r="I17" s="17"/>
      <c r="J17" s="17"/>
      <c r="K17" s="17"/>
    </row>
    <row r="18" spans="1:11" ht="18.75" x14ac:dyDescent="0.3">
      <c r="A18" s="17"/>
      <c r="C18" s="18" t="s">
        <v>14</v>
      </c>
      <c r="D18" s="10">
        <f>SUM(D13:D17)</f>
        <v>30</v>
      </c>
      <c r="E18" s="10">
        <f>SUM(E13:E17)</f>
        <v>1</v>
      </c>
      <c r="F18" s="10"/>
      <c r="G18" s="17"/>
      <c r="H18" s="17"/>
      <c r="I18" s="17"/>
      <c r="J18" s="17"/>
      <c r="K18" s="17"/>
    </row>
    <row r="19" spans="1:11" ht="18.75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20.25" x14ac:dyDescent="0.35">
      <c r="A20" s="17"/>
      <c r="B20" s="17"/>
      <c r="C20" s="10" t="s">
        <v>0</v>
      </c>
      <c r="D20" s="10" t="s">
        <v>13</v>
      </c>
      <c r="E20" s="17"/>
      <c r="F20" s="17"/>
      <c r="G20" s="17"/>
      <c r="H20" s="17"/>
      <c r="I20" s="17"/>
      <c r="J20" s="17"/>
      <c r="K20" s="17"/>
    </row>
    <row r="21" spans="1:11" ht="18.75" x14ac:dyDescent="0.3">
      <c r="A21" s="10">
        <v>5.7</v>
      </c>
      <c r="B21" s="10">
        <v>6.7</v>
      </c>
      <c r="C21" s="10">
        <f>(B21+A21)/2</f>
        <v>6.2</v>
      </c>
      <c r="D21" s="19">
        <f>D13/$D$18</f>
        <v>0.23333333333333334</v>
      </c>
      <c r="E21" s="17"/>
      <c r="F21" s="17"/>
      <c r="G21" s="17"/>
      <c r="H21" s="17"/>
      <c r="I21" s="17"/>
      <c r="J21" s="17"/>
      <c r="K21" s="17"/>
    </row>
    <row r="22" spans="1:11" ht="18.75" x14ac:dyDescent="0.3">
      <c r="A22" s="10">
        <v>6.7</v>
      </c>
      <c r="B22" s="10">
        <v>7.7</v>
      </c>
      <c r="C22" s="10">
        <f>(B22+A22)/2</f>
        <v>7.2</v>
      </c>
      <c r="D22" s="19">
        <f>D14/$D$18</f>
        <v>0.36666666666666664</v>
      </c>
      <c r="E22" s="17"/>
      <c r="F22" s="17"/>
      <c r="G22" s="17"/>
      <c r="H22" s="17"/>
      <c r="I22" s="17"/>
      <c r="J22" s="17"/>
      <c r="K22" s="17"/>
    </row>
    <row r="23" spans="1:11" ht="18.75" x14ac:dyDescent="0.3">
      <c r="A23" s="10">
        <v>7.7</v>
      </c>
      <c r="B23" s="10">
        <v>8.6999999999999993</v>
      </c>
      <c r="C23" s="10">
        <f>(B23+A23)/2</f>
        <v>8.1999999999999993</v>
      </c>
      <c r="D23" s="19">
        <f>D15/$D$18</f>
        <v>0.2</v>
      </c>
      <c r="E23" s="17"/>
      <c r="F23" s="17"/>
      <c r="G23" s="17"/>
      <c r="H23" s="17"/>
      <c r="I23" s="17"/>
      <c r="J23" s="17"/>
      <c r="K23" s="17"/>
    </row>
    <row r="24" spans="1:11" ht="18.75" x14ac:dyDescent="0.3">
      <c r="A24" s="10">
        <v>8.6999999999999993</v>
      </c>
      <c r="B24" s="10">
        <v>9.6999999999999993</v>
      </c>
      <c r="C24" s="10">
        <f>(B24+A24)/2</f>
        <v>9.1999999999999993</v>
      </c>
      <c r="D24" s="19">
        <f>D16/$D$18</f>
        <v>0.13333333333333333</v>
      </c>
      <c r="E24" s="17"/>
      <c r="F24" s="17"/>
      <c r="G24" s="17"/>
      <c r="H24" s="17"/>
      <c r="I24" s="17"/>
      <c r="J24" s="17"/>
      <c r="K24" s="17"/>
    </row>
    <row r="25" spans="1:11" ht="18.75" x14ac:dyDescent="0.3">
      <c r="A25" s="10">
        <v>9.6999999999999993</v>
      </c>
      <c r="B25" s="10">
        <v>10.7</v>
      </c>
      <c r="C25" s="10">
        <f>(B25+A25)/2</f>
        <v>10.199999999999999</v>
      </c>
      <c r="D25" s="19">
        <f>D17/$D$18</f>
        <v>6.6666666666666666E-2</v>
      </c>
    </row>
    <row r="27" spans="1:11" ht="20.25" x14ac:dyDescent="0.35">
      <c r="B27" s="10" t="s">
        <v>16</v>
      </c>
      <c r="C27" s="10" t="s">
        <v>15</v>
      </c>
    </row>
    <row r="28" spans="1:11" ht="18.75" x14ac:dyDescent="0.3">
      <c r="B28" s="10">
        <v>5.7</v>
      </c>
      <c r="C28" s="10">
        <v>0</v>
      </c>
    </row>
    <row r="29" spans="1:11" ht="18.75" x14ac:dyDescent="0.3">
      <c r="B29" s="10">
        <v>6.7</v>
      </c>
      <c r="C29" s="19">
        <v>0.23</v>
      </c>
    </row>
    <row r="30" spans="1:11" ht="18.75" x14ac:dyDescent="0.3">
      <c r="B30" s="10">
        <v>7.7</v>
      </c>
      <c r="C30" s="19">
        <v>0.6</v>
      </c>
    </row>
    <row r="31" spans="1:11" ht="18.75" x14ac:dyDescent="0.3">
      <c r="B31" s="10">
        <v>8.6999999999999993</v>
      </c>
      <c r="C31" s="19">
        <v>0.8</v>
      </c>
    </row>
    <row r="32" spans="1:11" ht="18.75" x14ac:dyDescent="0.3">
      <c r="B32" s="10">
        <v>9.6999999999999993</v>
      </c>
      <c r="C32" s="19">
        <v>0.93</v>
      </c>
    </row>
    <row r="33" spans="2:3" ht="18.75" x14ac:dyDescent="0.3">
      <c r="B33" s="10">
        <v>10.7</v>
      </c>
      <c r="C33" s="19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Views>
    <sheetView workbookViewId="0">
      <selection activeCell="D14" sqref="D14"/>
    </sheetView>
  </sheetViews>
  <sheetFormatPr defaultRowHeight="20.25" x14ac:dyDescent="0.3"/>
  <cols>
    <col min="1" max="1" width="29.28515625" style="20" bestFit="1" customWidth="1"/>
    <col min="2" max="2" width="8.140625" style="20" customWidth="1"/>
    <col min="3" max="3" width="9" style="20" customWidth="1"/>
    <col min="4" max="5" width="8.5703125" style="20" bestFit="1" customWidth="1"/>
    <col min="6" max="32" width="2.85546875" style="20" bestFit="1" customWidth="1"/>
    <col min="33" max="16384" width="9.140625" style="20"/>
  </cols>
  <sheetData>
    <row r="1" spans="1:33" x14ac:dyDescent="0.3">
      <c r="A1" s="21" t="s">
        <v>17</v>
      </c>
      <c r="B1" s="21" t="s">
        <v>19</v>
      </c>
      <c r="C1" s="21" t="s">
        <v>20</v>
      </c>
      <c r="D1" s="21" t="s">
        <v>21</v>
      </c>
      <c r="E1" s="21" t="s">
        <v>22</v>
      </c>
    </row>
    <row r="2" spans="1:33" ht="24.75" x14ac:dyDescent="0.45">
      <c r="A2" s="21" t="s">
        <v>18</v>
      </c>
      <c r="B2" s="21">
        <v>20</v>
      </c>
      <c r="C2" s="21">
        <v>50</v>
      </c>
      <c r="D2" s="21">
        <v>20</v>
      </c>
      <c r="E2" s="21">
        <v>10</v>
      </c>
    </row>
    <row r="7" spans="1:33" x14ac:dyDescent="0.3">
      <c r="H7" s="21">
        <v>4</v>
      </c>
      <c r="I7" s="21">
        <v>5</v>
      </c>
      <c r="J7" s="21">
        <v>6</v>
      </c>
      <c r="K7" s="21">
        <v>4</v>
      </c>
      <c r="L7" s="21">
        <v>4</v>
      </c>
      <c r="M7" s="21">
        <v>2</v>
      </c>
      <c r="N7" s="21">
        <v>3</v>
      </c>
      <c r="O7" s="21">
        <v>5</v>
      </c>
      <c r="P7" s="21">
        <v>4</v>
      </c>
      <c r="Q7" s="21">
        <v>4</v>
      </c>
      <c r="R7" s="21">
        <v>5</v>
      </c>
      <c r="S7" s="21">
        <v>2</v>
      </c>
      <c r="T7" s="21">
        <v>3</v>
      </c>
      <c r="U7" s="21">
        <v>3</v>
      </c>
      <c r="V7" s="21">
        <v>4</v>
      </c>
      <c r="W7" s="21">
        <v>5</v>
      </c>
      <c r="X7" s="21">
        <v>5</v>
      </c>
      <c r="Y7" s="21">
        <v>2</v>
      </c>
      <c r="Z7" s="21">
        <v>3</v>
      </c>
      <c r="AA7" s="21">
        <v>6</v>
      </c>
      <c r="AB7" s="21">
        <v>5</v>
      </c>
      <c r="AC7" s="21">
        <v>4</v>
      </c>
      <c r="AD7" s="21">
        <v>6</v>
      </c>
      <c r="AE7" s="21">
        <v>4</v>
      </c>
      <c r="AF7" s="21">
        <v>3</v>
      </c>
      <c r="AG7" s="21">
        <f>_xlfn.MODE.SNGL(H7:AF7)</f>
        <v>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workbookViewId="0">
      <selection activeCell="D22" sqref="D22"/>
    </sheetView>
  </sheetViews>
  <sheetFormatPr defaultRowHeight="15" x14ac:dyDescent="0.25"/>
  <cols>
    <col min="1" max="1" width="6" bestFit="1" customWidth="1"/>
    <col min="2" max="3" width="2.85546875" bestFit="1" customWidth="1"/>
    <col min="4" max="4" width="6" bestFit="1" customWidth="1"/>
    <col min="5" max="8" width="2.85546875" bestFit="1" customWidth="1"/>
    <col min="9" max="10" width="6" bestFit="1" customWidth="1"/>
    <col min="11" max="14" width="2.85546875" bestFit="1" customWidth="1"/>
    <col min="15" max="15" width="6" bestFit="1" customWidth="1"/>
    <col min="16" max="21" width="2.85546875" bestFit="1" customWidth="1"/>
    <col min="22" max="22" width="6" bestFit="1" customWidth="1"/>
    <col min="23" max="25" width="2.85546875" bestFit="1" customWidth="1"/>
    <col min="28" max="28" width="10.5703125" bestFit="1" customWidth="1"/>
  </cols>
  <sheetData>
    <row r="1" spans="1:28" ht="26.25" x14ac:dyDescent="0.4">
      <c r="A1" s="21">
        <v>4</v>
      </c>
      <c r="B1" s="21">
        <v>5</v>
      </c>
      <c r="C1" s="21">
        <v>6</v>
      </c>
      <c r="D1" s="21">
        <v>4</v>
      </c>
      <c r="E1" s="21">
        <v>4</v>
      </c>
      <c r="F1" s="21">
        <v>2</v>
      </c>
      <c r="G1" s="21">
        <v>3</v>
      </c>
      <c r="H1" s="21">
        <v>5</v>
      </c>
      <c r="I1" s="21">
        <v>4</v>
      </c>
      <c r="J1" s="21">
        <v>4</v>
      </c>
      <c r="K1" s="21">
        <v>5</v>
      </c>
      <c r="L1" s="21">
        <v>2</v>
      </c>
      <c r="M1" s="21">
        <v>3</v>
      </c>
      <c r="N1" s="21">
        <v>3</v>
      </c>
      <c r="O1" s="21">
        <v>4</v>
      </c>
      <c r="P1" s="21">
        <v>5</v>
      </c>
      <c r="Q1" s="21">
        <v>5</v>
      </c>
      <c r="R1" s="21">
        <v>2</v>
      </c>
      <c r="S1" s="21">
        <v>3</v>
      </c>
      <c r="T1" s="21">
        <v>6</v>
      </c>
      <c r="U1" s="21">
        <v>5</v>
      </c>
      <c r="V1" s="21">
        <v>4</v>
      </c>
      <c r="W1" s="21">
        <v>6</v>
      </c>
      <c r="X1" s="21">
        <v>4</v>
      </c>
      <c r="Y1" s="21">
        <v>3</v>
      </c>
      <c r="Z1" s="21">
        <f>_xlfn.MODE.SNGL(A1:Y1)</f>
        <v>4</v>
      </c>
      <c r="AB1" s="23">
        <f>AVERAGE((A1:Y1))</f>
        <v>4.04</v>
      </c>
    </row>
    <row r="7" spans="1:28" ht="26.25" x14ac:dyDescent="0.4">
      <c r="A7" s="21">
        <v>4</v>
      </c>
      <c r="B7" s="21">
        <v>5</v>
      </c>
      <c r="C7" s="21">
        <v>6</v>
      </c>
      <c r="D7" s="21">
        <v>4</v>
      </c>
      <c r="E7" s="21">
        <v>4</v>
      </c>
      <c r="F7" s="21">
        <v>2</v>
      </c>
      <c r="G7" s="21">
        <v>3</v>
      </c>
      <c r="H7" s="21">
        <v>5</v>
      </c>
      <c r="I7" s="21">
        <v>4</v>
      </c>
      <c r="J7" s="21">
        <v>4</v>
      </c>
      <c r="K7" s="21">
        <v>5</v>
      </c>
      <c r="L7" s="21">
        <v>2</v>
      </c>
      <c r="M7" s="21">
        <v>3</v>
      </c>
      <c r="N7" s="21">
        <v>3</v>
      </c>
      <c r="O7" s="21">
        <v>4</v>
      </c>
      <c r="P7" s="21">
        <v>5</v>
      </c>
      <c r="Q7" s="21">
        <v>5</v>
      </c>
      <c r="R7" s="21">
        <v>2</v>
      </c>
      <c r="S7" s="21">
        <v>3</v>
      </c>
      <c r="T7" s="21">
        <v>6</v>
      </c>
      <c r="U7" s="21">
        <v>5</v>
      </c>
      <c r="V7" s="21">
        <v>4</v>
      </c>
      <c r="W7" s="21">
        <v>6</v>
      </c>
      <c r="X7" s="21">
        <v>4</v>
      </c>
      <c r="Y7" s="21">
        <v>3</v>
      </c>
      <c r="Z7" s="22">
        <f>MEDIAN(A7:Y7)</f>
        <v>4</v>
      </c>
      <c r="AB7" s="23">
        <f>AVERAGE((A7:Y7))</f>
        <v>4.04</v>
      </c>
    </row>
    <row r="12" spans="1:28" ht="26.25" x14ac:dyDescent="0.4">
      <c r="A12" s="21">
        <v>100</v>
      </c>
      <c r="B12" s="21">
        <v>5</v>
      </c>
      <c r="C12" s="21">
        <v>6</v>
      </c>
      <c r="D12" s="21">
        <v>100</v>
      </c>
      <c r="E12" s="21">
        <v>4</v>
      </c>
      <c r="F12" s="21">
        <v>2</v>
      </c>
      <c r="G12" s="21">
        <v>3</v>
      </c>
      <c r="H12" s="21">
        <v>5</v>
      </c>
      <c r="I12" s="21">
        <v>100</v>
      </c>
      <c r="J12" s="21">
        <v>100</v>
      </c>
      <c r="K12" s="21">
        <v>5</v>
      </c>
      <c r="L12" s="21">
        <v>2</v>
      </c>
      <c r="M12" s="21">
        <v>3</v>
      </c>
      <c r="N12" s="21">
        <v>3</v>
      </c>
      <c r="O12" s="21">
        <v>100</v>
      </c>
      <c r="P12" s="21">
        <v>5</v>
      </c>
      <c r="Q12" s="21">
        <v>5</v>
      </c>
      <c r="R12" s="21">
        <v>2</v>
      </c>
      <c r="S12" s="21">
        <v>3</v>
      </c>
      <c r="T12" s="21">
        <v>6</v>
      </c>
      <c r="U12" s="21">
        <v>5</v>
      </c>
      <c r="V12" s="21">
        <v>100</v>
      </c>
      <c r="W12" s="21">
        <v>6</v>
      </c>
      <c r="X12" s="21">
        <v>4</v>
      </c>
      <c r="Y12" s="21">
        <v>3</v>
      </c>
      <c r="Z12" s="21">
        <f>_xlfn.MODE.SNGL(A12:Y12)</f>
        <v>100</v>
      </c>
      <c r="AB12" s="23">
        <f>AVERAGE((A12:Y12))</f>
        <v>27.08</v>
      </c>
    </row>
    <row r="16" spans="1:28" ht="26.25" x14ac:dyDescent="0.4">
      <c r="A16" s="21">
        <v>100</v>
      </c>
      <c r="B16" s="21">
        <v>5</v>
      </c>
      <c r="C16" s="21">
        <v>6</v>
      </c>
      <c r="D16" s="21">
        <v>100</v>
      </c>
      <c r="E16" s="21">
        <v>4</v>
      </c>
      <c r="F16" s="21">
        <v>2</v>
      </c>
      <c r="G16" s="21">
        <v>3</v>
      </c>
      <c r="H16" s="21">
        <v>5</v>
      </c>
      <c r="I16" s="21">
        <v>100</v>
      </c>
      <c r="J16" s="21">
        <v>100</v>
      </c>
      <c r="K16" s="21">
        <v>5</v>
      </c>
      <c r="L16" s="21">
        <v>2</v>
      </c>
      <c r="M16" s="21">
        <v>3</v>
      </c>
      <c r="N16" s="21">
        <v>3</v>
      </c>
      <c r="O16" s="21">
        <v>100</v>
      </c>
      <c r="P16" s="21">
        <v>5</v>
      </c>
      <c r="Q16" s="21">
        <v>5</v>
      </c>
      <c r="R16" s="21">
        <v>2</v>
      </c>
      <c r="S16" s="21">
        <v>3</v>
      </c>
      <c r="T16" s="21">
        <v>6</v>
      </c>
      <c r="U16" s="21">
        <v>5</v>
      </c>
      <c r="V16" s="21">
        <v>100</v>
      </c>
      <c r="W16" s="21">
        <v>6</v>
      </c>
      <c r="X16" s="21">
        <v>4</v>
      </c>
      <c r="Y16" s="21">
        <v>3</v>
      </c>
      <c r="Z16" s="22">
        <f>MEDIAN(A16:Y16)</f>
        <v>5</v>
      </c>
      <c r="AB16" s="23">
        <f>AVERAGE((A16:Y16))</f>
        <v>27.08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H7" sqref="H7"/>
    </sheetView>
  </sheetViews>
  <sheetFormatPr defaultRowHeight="20.25" x14ac:dyDescent="0.3"/>
  <cols>
    <col min="1" max="16384" width="9.140625" style="24"/>
  </cols>
  <sheetData>
    <row r="1" spans="1:8" ht="24.75" x14ac:dyDescent="0.45">
      <c r="A1" s="25" t="s">
        <v>23</v>
      </c>
      <c r="B1" s="26">
        <v>1</v>
      </c>
      <c r="C1" s="26">
        <v>2</v>
      </c>
      <c r="D1" s="26">
        <v>3</v>
      </c>
      <c r="E1" s="26">
        <v>4</v>
      </c>
      <c r="F1" s="26">
        <v>5</v>
      </c>
    </row>
    <row r="2" spans="1:8" ht="24.75" x14ac:dyDescent="0.45">
      <c r="A2" s="25" t="s">
        <v>27</v>
      </c>
      <c r="B2" s="26">
        <v>225</v>
      </c>
      <c r="C2" s="26">
        <v>32</v>
      </c>
      <c r="D2" s="26">
        <v>82</v>
      </c>
      <c r="E2" s="26">
        <v>145</v>
      </c>
      <c r="F2" s="26">
        <v>16</v>
      </c>
      <c r="G2" s="27" t="s">
        <v>24</v>
      </c>
      <c r="H2" s="24">
        <f>SUM(B2:F2)</f>
        <v>500</v>
      </c>
    </row>
    <row r="4" spans="1:8" x14ac:dyDescent="0.3">
      <c r="A4" s="24" t="s">
        <v>28</v>
      </c>
      <c r="B4" s="24">
        <f>B1*B2</f>
        <v>225</v>
      </c>
      <c r="C4" s="24">
        <f>C1*C2</f>
        <v>64</v>
      </c>
      <c r="D4" s="24">
        <f>D1*D2</f>
        <v>246</v>
      </c>
      <c r="E4" s="24">
        <f>E1*E2</f>
        <v>580</v>
      </c>
      <c r="F4" s="24">
        <f>F1*F2</f>
        <v>80</v>
      </c>
      <c r="G4" s="27" t="s">
        <v>25</v>
      </c>
      <c r="H4" s="24">
        <f>SUM(B4:F4)/H2</f>
        <v>2.39</v>
      </c>
    </row>
    <row r="6" spans="1:8" x14ac:dyDescent="0.3">
      <c r="G6" s="24" t="s">
        <v>26</v>
      </c>
      <c r="H6" s="24" t="e">
        <f>_xlfn.MODE.SNGL(B2:F2)</f>
        <v>#N/A</v>
      </c>
    </row>
    <row r="7" spans="1:8" x14ac:dyDescent="0.3">
      <c r="G7" s="24" t="s">
        <v>29</v>
      </c>
      <c r="H7" s="24">
        <f>MEDIAN(B2:F2)</f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7"/>
  <sheetViews>
    <sheetView workbookViewId="0">
      <selection activeCell="G24" sqref="G23:G24"/>
    </sheetView>
  </sheetViews>
  <sheetFormatPr defaultColWidth="22.42578125" defaultRowHeight="18.75" x14ac:dyDescent="0.25"/>
  <cols>
    <col min="1" max="3" width="22.42578125" style="28"/>
    <col min="4" max="4" width="9.85546875" style="28" customWidth="1"/>
    <col min="5" max="5" width="14" style="28" customWidth="1"/>
    <col min="6" max="6" width="10.85546875" style="28" customWidth="1"/>
    <col min="7" max="7" width="12.140625" style="28" customWidth="1"/>
    <col min="8" max="8" width="13.7109375" style="28" customWidth="1"/>
    <col min="9" max="9" width="14.28515625" style="28" customWidth="1"/>
    <col min="10" max="16384" width="22.42578125" style="28"/>
  </cols>
  <sheetData>
    <row r="1" spans="1:9" ht="37.5" x14ac:dyDescent="0.25">
      <c r="A1" s="30" t="s">
        <v>30</v>
      </c>
      <c r="B1" s="30" t="s">
        <v>31</v>
      </c>
      <c r="D1" s="218" t="s">
        <v>12</v>
      </c>
      <c r="E1" s="219"/>
      <c r="F1" s="31" t="s">
        <v>38</v>
      </c>
      <c r="G1" s="31" t="s">
        <v>39</v>
      </c>
      <c r="H1" s="31" t="s">
        <v>40</v>
      </c>
      <c r="I1" s="31" t="s">
        <v>41</v>
      </c>
    </row>
    <row r="2" spans="1:9" x14ac:dyDescent="0.25">
      <c r="A2" s="30" t="s">
        <v>32</v>
      </c>
      <c r="B2" s="30">
        <v>10</v>
      </c>
      <c r="D2" s="32">
        <v>16</v>
      </c>
      <c r="E2" s="32">
        <v>20</v>
      </c>
      <c r="F2" s="32">
        <v>10</v>
      </c>
      <c r="G2" s="32">
        <v>18</v>
      </c>
      <c r="H2" s="32">
        <f>F2*G2</f>
        <v>180</v>
      </c>
      <c r="I2" s="32">
        <f>F2</f>
        <v>10</v>
      </c>
    </row>
    <row r="3" spans="1:9" x14ac:dyDescent="0.25">
      <c r="A3" s="30" t="s">
        <v>33</v>
      </c>
      <c r="B3" s="30">
        <v>20</v>
      </c>
      <c r="D3" s="32">
        <v>20</v>
      </c>
      <c r="E3" s="32">
        <v>24</v>
      </c>
      <c r="F3" s="32">
        <v>20</v>
      </c>
      <c r="G3" s="32">
        <v>22</v>
      </c>
      <c r="H3" s="32">
        <f>F3*G3</f>
        <v>440</v>
      </c>
      <c r="I3" s="32">
        <f>I2+F3</f>
        <v>30</v>
      </c>
    </row>
    <row r="4" spans="1:9" x14ac:dyDescent="0.25">
      <c r="A4" s="30" t="s">
        <v>34</v>
      </c>
      <c r="B4" s="30">
        <v>50</v>
      </c>
      <c r="D4" s="32">
        <v>24</v>
      </c>
      <c r="E4" s="32">
        <v>28</v>
      </c>
      <c r="F4" s="32">
        <v>50</v>
      </c>
      <c r="G4" s="32">
        <v>26</v>
      </c>
      <c r="H4" s="32">
        <f>F4*G4</f>
        <v>1300</v>
      </c>
      <c r="I4" s="32">
        <f>I3+F4</f>
        <v>80</v>
      </c>
    </row>
    <row r="5" spans="1:9" x14ac:dyDescent="0.25">
      <c r="A5" s="30" t="s">
        <v>35</v>
      </c>
      <c r="B5" s="30">
        <v>15</v>
      </c>
      <c r="D5" s="32">
        <v>28</v>
      </c>
      <c r="E5" s="32">
        <v>32</v>
      </c>
      <c r="F5" s="32">
        <v>15</v>
      </c>
      <c r="G5" s="32">
        <v>30</v>
      </c>
      <c r="H5" s="32">
        <f>F5*G5</f>
        <v>450</v>
      </c>
      <c r="I5" s="32">
        <f>I4+F5</f>
        <v>95</v>
      </c>
    </row>
    <row r="6" spans="1:9" x14ac:dyDescent="0.25">
      <c r="A6" s="30" t="s">
        <v>36</v>
      </c>
      <c r="B6" s="30">
        <v>5</v>
      </c>
      <c r="D6" s="32">
        <v>32</v>
      </c>
      <c r="E6" s="32">
        <v>36</v>
      </c>
      <c r="F6" s="32">
        <v>5</v>
      </c>
      <c r="G6" s="32">
        <v>34</v>
      </c>
      <c r="H6" s="32">
        <f>F6*G6</f>
        <v>170</v>
      </c>
      <c r="I6" s="32">
        <f>I5+F6</f>
        <v>100</v>
      </c>
    </row>
    <row r="7" spans="1:9" ht="29.25" customHeight="1" x14ac:dyDescent="0.25">
      <c r="A7" s="30" t="s">
        <v>37</v>
      </c>
      <c r="B7" s="30">
        <f>SUM(B2:B6)</f>
        <v>100</v>
      </c>
      <c r="D7" s="220" t="s">
        <v>42</v>
      </c>
      <c r="E7" s="221"/>
      <c r="F7" s="33">
        <f>SUM(F2:F6)</f>
        <v>100</v>
      </c>
      <c r="G7" s="33"/>
      <c r="H7" s="33">
        <f>SUM(H2:H6)</f>
        <v>2540</v>
      </c>
      <c r="I7" s="29"/>
    </row>
    <row r="9" spans="1:9" x14ac:dyDescent="0.25">
      <c r="D9" s="214" t="s">
        <v>43</v>
      </c>
      <c r="E9" s="215"/>
    </row>
    <row r="10" spans="1:9" x14ac:dyDescent="0.25">
      <c r="D10" s="214"/>
      <c r="E10" s="215"/>
    </row>
    <row r="11" spans="1:9" x14ac:dyDescent="0.25">
      <c r="F11" s="216" t="s">
        <v>44</v>
      </c>
      <c r="G11" s="217"/>
      <c r="H11" s="28">
        <f>H7/F7</f>
        <v>25.4</v>
      </c>
      <c r="I11" s="28" t="s">
        <v>45</v>
      </c>
    </row>
    <row r="15" spans="1:9" x14ac:dyDescent="0.25">
      <c r="D15" s="214"/>
      <c r="E15" s="215"/>
    </row>
    <row r="16" spans="1:9" x14ac:dyDescent="0.25">
      <c r="D16" s="214"/>
      <c r="E16" s="215"/>
    </row>
    <row r="17" spans="6:7" x14ac:dyDescent="0.25">
      <c r="F17" s="216"/>
      <c r="G17" s="217"/>
    </row>
  </sheetData>
  <mergeCells count="8">
    <mergeCell ref="D16:E16"/>
    <mergeCell ref="F17:G17"/>
    <mergeCell ref="D1:E1"/>
    <mergeCell ref="D7:E7"/>
    <mergeCell ref="D9:E9"/>
    <mergeCell ref="D10:E10"/>
    <mergeCell ref="F11:G11"/>
    <mergeCell ref="D15:E1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6151" r:id="rId3">
          <objectPr defaultSize="0" autoPict="0" r:id="rId4">
            <anchor moveWithCells="1">
              <from>
                <xdr:col>3</xdr:col>
                <xdr:colOff>38100</xdr:colOff>
                <xdr:row>8</xdr:row>
                <xdr:rowOff>228600</xdr:rowOff>
              </from>
              <to>
                <xdr:col>5</xdr:col>
                <xdr:colOff>57150</xdr:colOff>
                <xdr:row>11</xdr:row>
                <xdr:rowOff>66675</xdr:rowOff>
              </to>
            </anchor>
          </objectPr>
        </oleObject>
      </mc:Choice>
      <mc:Fallback>
        <oleObject progId="Equation.3" shapeId="6151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6"/>
  <sheetViews>
    <sheetView topLeftCell="A4" workbookViewId="0">
      <selection activeCell="A4" sqref="A4:G16"/>
    </sheetView>
  </sheetViews>
  <sheetFormatPr defaultRowHeight="15" x14ac:dyDescent="0.25"/>
  <cols>
    <col min="2" max="2" width="12.5703125" customWidth="1"/>
    <col min="3" max="3" width="13.42578125" customWidth="1"/>
  </cols>
  <sheetData>
    <row r="1" spans="1:10" ht="21" x14ac:dyDescent="0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</row>
    <row r="2" spans="1:10" ht="18.75" x14ac:dyDescent="0.3">
      <c r="A2" s="10">
        <v>7.1</v>
      </c>
      <c r="B2" s="10">
        <v>6.3</v>
      </c>
      <c r="C2" s="10">
        <v>6.2</v>
      </c>
      <c r="D2" s="10">
        <v>5.8</v>
      </c>
      <c r="E2" s="10">
        <v>7.7</v>
      </c>
      <c r="F2" s="10">
        <v>6.8</v>
      </c>
      <c r="G2" s="10">
        <v>6.7</v>
      </c>
      <c r="H2" s="10">
        <v>5.9</v>
      </c>
      <c r="I2" s="10">
        <v>5.7</v>
      </c>
      <c r="J2" s="10">
        <v>5.0999999999999996</v>
      </c>
    </row>
    <row r="3" spans="1:10" x14ac:dyDescent="0.25">
      <c r="A3" s="39" t="s">
        <v>58</v>
      </c>
      <c r="B3" s="39" t="s">
        <v>59</v>
      </c>
      <c r="C3" s="39" t="s">
        <v>60</v>
      </c>
      <c r="D3" s="39" t="s">
        <v>61</v>
      </c>
      <c r="E3" s="39" t="s">
        <v>62</v>
      </c>
      <c r="F3" s="39" t="s">
        <v>63</v>
      </c>
      <c r="G3" s="39" t="s">
        <v>64</v>
      </c>
    </row>
    <row r="4" spans="1:10" ht="21" x14ac:dyDescent="0.4">
      <c r="A4" s="39">
        <v>4</v>
      </c>
      <c r="B4" s="34" t="s">
        <v>46</v>
      </c>
      <c r="C4" s="36" t="s">
        <v>57</v>
      </c>
    </row>
    <row r="5" spans="1:10" ht="18.75" x14ac:dyDescent="0.3">
      <c r="A5" s="39">
        <v>5</v>
      </c>
      <c r="B5" s="10">
        <v>7.1</v>
      </c>
      <c r="C5" s="36">
        <f>ABS(B5-$B$15)</f>
        <v>0.76999999999999957</v>
      </c>
    </row>
    <row r="6" spans="1:10" ht="18.75" x14ac:dyDescent="0.3">
      <c r="A6" s="39">
        <v>6</v>
      </c>
      <c r="B6" s="10">
        <v>6.3</v>
      </c>
      <c r="C6" s="36">
        <f t="shared" ref="C6:C14" si="0">ABS(B6-$B$15)</f>
        <v>3.0000000000000249E-2</v>
      </c>
    </row>
    <row r="7" spans="1:10" ht="18.75" x14ac:dyDescent="0.3">
      <c r="A7" s="39">
        <v>7</v>
      </c>
      <c r="B7" s="10">
        <v>6.2</v>
      </c>
      <c r="C7" s="36">
        <f t="shared" si="0"/>
        <v>0.12999999999999989</v>
      </c>
    </row>
    <row r="8" spans="1:10" ht="18.75" x14ac:dyDescent="0.3">
      <c r="A8" s="39">
        <v>8</v>
      </c>
      <c r="B8" s="10">
        <v>5.8</v>
      </c>
      <c r="C8" s="36">
        <f t="shared" si="0"/>
        <v>0.53000000000000025</v>
      </c>
    </row>
    <row r="9" spans="1:10" ht="18.75" x14ac:dyDescent="0.3">
      <c r="A9" s="39">
        <v>9</v>
      </c>
      <c r="B9" s="10">
        <v>7.7</v>
      </c>
      <c r="C9" s="36">
        <f t="shared" si="0"/>
        <v>1.37</v>
      </c>
    </row>
    <row r="10" spans="1:10" ht="18.75" x14ac:dyDescent="0.3">
      <c r="A10" s="39">
        <v>10</v>
      </c>
      <c r="B10" s="10">
        <v>6.8</v>
      </c>
      <c r="C10" s="36">
        <f t="shared" si="0"/>
        <v>0.46999999999999975</v>
      </c>
    </row>
    <row r="11" spans="1:10" ht="18.75" x14ac:dyDescent="0.3">
      <c r="A11" s="39">
        <v>11</v>
      </c>
      <c r="B11" s="10">
        <v>6.7</v>
      </c>
      <c r="C11" s="36">
        <f t="shared" si="0"/>
        <v>0.37000000000000011</v>
      </c>
    </row>
    <row r="12" spans="1:10" ht="18.75" x14ac:dyDescent="0.3">
      <c r="A12" s="39">
        <v>12</v>
      </c>
      <c r="B12" s="10">
        <v>5.9</v>
      </c>
      <c r="C12" s="36">
        <f t="shared" si="0"/>
        <v>0.42999999999999972</v>
      </c>
    </row>
    <row r="13" spans="1:10" ht="18.75" x14ac:dyDescent="0.3">
      <c r="A13" s="39">
        <v>13</v>
      </c>
      <c r="B13" s="10">
        <v>5.7</v>
      </c>
      <c r="C13" s="36">
        <f t="shared" si="0"/>
        <v>0.62999999999999989</v>
      </c>
    </row>
    <row r="14" spans="1:10" ht="18.75" x14ac:dyDescent="0.3">
      <c r="A14" s="39">
        <v>14</v>
      </c>
      <c r="B14" s="10">
        <v>5.0999999999999996</v>
      </c>
      <c r="C14" s="36">
        <f t="shared" si="0"/>
        <v>1.2300000000000004</v>
      </c>
    </row>
    <row r="15" spans="1:10" ht="34.5" x14ac:dyDescent="0.6">
      <c r="A15" s="37" t="s">
        <v>56</v>
      </c>
      <c r="B15" s="35">
        <f>AVERAGE(B5:B14)</f>
        <v>6.33</v>
      </c>
    </row>
    <row r="16" spans="1:10" ht="42" customHeight="1" x14ac:dyDescent="0.35">
      <c r="A16" s="222"/>
      <c r="B16" s="222"/>
      <c r="C16" s="38">
        <f>SUM(C5:C14)/10</f>
        <v>0.59599999999999997</v>
      </c>
    </row>
  </sheetData>
  <mergeCells count="1">
    <mergeCell ref="A16:B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7169" r:id="rId4">
          <objectPr defaultSize="0" autoPict="0" r:id="rId5">
            <anchor moveWithCells="1">
              <from>
                <xdr:col>0</xdr:col>
                <xdr:colOff>0</xdr:colOff>
                <xdr:row>15</xdr:row>
                <xdr:rowOff>19050</xdr:rowOff>
              </from>
              <to>
                <xdr:col>0</xdr:col>
                <xdr:colOff>590550</xdr:colOff>
                <xdr:row>16</xdr:row>
                <xdr:rowOff>38100</xdr:rowOff>
              </to>
            </anchor>
          </objectPr>
        </oleObject>
      </mc:Choice>
      <mc:Fallback>
        <oleObject progId="Equation.3" shapeId="7169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K13" sqref="K13"/>
    </sheetView>
  </sheetViews>
  <sheetFormatPr defaultRowHeight="15" x14ac:dyDescent="0.25"/>
  <cols>
    <col min="2" max="2" width="12.5703125" customWidth="1"/>
    <col min="3" max="3" width="13.42578125" customWidth="1"/>
  </cols>
  <sheetData>
    <row r="1" spans="1:10" ht="21" x14ac:dyDescent="0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</row>
    <row r="2" spans="1:10" ht="18.75" x14ac:dyDescent="0.3">
      <c r="A2" s="10">
        <v>7.1</v>
      </c>
      <c r="B2" s="10">
        <v>6.3</v>
      </c>
      <c r="C2" s="10">
        <v>6.2</v>
      </c>
      <c r="D2" s="10">
        <v>5.8</v>
      </c>
      <c r="E2" s="10">
        <v>7.7</v>
      </c>
      <c r="F2" s="10">
        <v>6.8</v>
      </c>
      <c r="G2" s="10">
        <v>6.7</v>
      </c>
      <c r="H2" s="10">
        <v>5.9</v>
      </c>
      <c r="I2" s="10">
        <v>5.7</v>
      </c>
      <c r="J2" s="10">
        <v>5.0999999999999996</v>
      </c>
    </row>
    <row r="3" spans="1:10" x14ac:dyDescent="0.25">
      <c r="A3" s="39" t="s">
        <v>58</v>
      </c>
      <c r="B3" s="39" t="s">
        <v>59</v>
      </c>
      <c r="C3" s="39" t="s">
        <v>60</v>
      </c>
      <c r="D3" s="39" t="s">
        <v>61</v>
      </c>
      <c r="E3" s="39" t="s">
        <v>62</v>
      </c>
      <c r="F3" s="39" t="s">
        <v>63</v>
      </c>
      <c r="G3" s="39" t="s">
        <v>64</v>
      </c>
    </row>
    <row r="4" spans="1:10" ht="23.25" x14ac:dyDescent="0.4">
      <c r="A4" s="39">
        <v>4</v>
      </c>
      <c r="B4" s="34" t="s">
        <v>46</v>
      </c>
      <c r="C4" s="36" t="s">
        <v>65</v>
      </c>
    </row>
    <row r="5" spans="1:10" ht="18.75" x14ac:dyDescent="0.3">
      <c r="A5" s="39">
        <v>5</v>
      </c>
      <c r="B5" s="10">
        <v>7.1</v>
      </c>
      <c r="C5" s="36">
        <f>(B5-$B$15)^2</f>
        <v>0.59289999999999932</v>
      </c>
    </row>
    <row r="6" spans="1:10" ht="18.75" x14ac:dyDescent="0.3">
      <c r="A6" s="39">
        <v>6</v>
      </c>
      <c r="B6" s="10">
        <v>6.3</v>
      </c>
      <c r="C6" s="36">
        <f t="shared" ref="C6:C14" si="0">(B6-$B$15)^2</f>
        <v>9.0000000000001494E-4</v>
      </c>
    </row>
    <row r="7" spans="1:10" ht="18.75" x14ac:dyDescent="0.3">
      <c r="A7" s="39">
        <v>7</v>
      </c>
      <c r="B7" s="10">
        <v>6.2</v>
      </c>
      <c r="C7" s="36">
        <f t="shared" si="0"/>
        <v>1.6899999999999971E-2</v>
      </c>
    </row>
    <row r="8" spans="1:10" ht="18.75" x14ac:dyDescent="0.3">
      <c r="A8" s="39">
        <v>8</v>
      </c>
      <c r="B8" s="10">
        <v>5.8</v>
      </c>
      <c r="C8" s="36">
        <f t="shared" si="0"/>
        <v>0.28090000000000026</v>
      </c>
    </row>
    <row r="9" spans="1:10" ht="18.75" x14ac:dyDescent="0.3">
      <c r="A9" s="39">
        <v>9</v>
      </c>
      <c r="B9" s="10">
        <v>7.7</v>
      </c>
      <c r="C9" s="36">
        <f t="shared" si="0"/>
        <v>1.8769000000000002</v>
      </c>
    </row>
    <row r="10" spans="1:10" ht="18.75" x14ac:dyDescent="0.3">
      <c r="A10" s="39">
        <v>10</v>
      </c>
      <c r="B10" s="10">
        <v>6.8</v>
      </c>
      <c r="C10" s="36">
        <f t="shared" si="0"/>
        <v>0.22089999999999976</v>
      </c>
    </row>
    <row r="11" spans="1:10" ht="18.75" x14ac:dyDescent="0.3">
      <c r="A11" s="39">
        <v>11</v>
      </c>
      <c r="B11" s="10">
        <v>6.7</v>
      </c>
      <c r="C11" s="36">
        <f t="shared" si="0"/>
        <v>0.13690000000000008</v>
      </c>
    </row>
    <row r="12" spans="1:10" ht="18.75" x14ac:dyDescent="0.3">
      <c r="A12" s="39">
        <v>12</v>
      </c>
      <c r="B12" s="10">
        <v>5.9</v>
      </c>
      <c r="C12" s="36">
        <f t="shared" si="0"/>
        <v>0.18489999999999976</v>
      </c>
    </row>
    <row r="13" spans="1:10" ht="18.75" x14ac:dyDescent="0.3">
      <c r="A13" s="39">
        <v>13</v>
      </c>
      <c r="B13" s="10">
        <v>5.7</v>
      </c>
      <c r="C13" s="36">
        <f t="shared" si="0"/>
        <v>0.39689999999999986</v>
      </c>
    </row>
    <row r="14" spans="1:10" ht="18.75" x14ac:dyDescent="0.3">
      <c r="A14" s="39">
        <v>14</v>
      </c>
      <c r="B14" s="10">
        <v>5.0999999999999996</v>
      </c>
      <c r="C14" s="36">
        <f t="shared" si="0"/>
        <v>1.512900000000001</v>
      </c>
    </row>
    <row r="15" spans="1:10" ht="34.5" x14ac:dyDescent="0.6">
      <c r="A15" s="37" t="s">
        <v>56</v>
      </c>
      <c r="B15" s="35">
        <f>AVERAGE(B5:B14)</f>
        <v>6.33</v>
      </c>
    </row>
    <row r="16" spans="1:10" ht="42" customHeight="1" x14ac:dyDescent="0.55000000000000004">
      <c r="A16" s="223" t="s">
        <v>66</v>
      </c>
      <c r="B16" s="222"/>
      <c r="C16" s="38">
        <f>SUM(C5:C14)/10</f>
        <v>0.52210000000000012</v>
      </c>
    </row>
  </sheetData>
  <mergeCells count="1">
    <mergeCell ref="A16:B1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0"/>
  <sheetViews>
    <sheetView workbookViewId="0">
      <selection activeCell="A3" sqref="A3:G23"/>
    </sheetView>
  </sheetViews>
  <sheetFormatPr defaultRowHeight="15" x14ac:dyDescent="0.25"/>
  <cols>
    <col min="2" max="2" width="12.5703125" customWidth="1"/>
    <col min="3" max="3" width="13.42578125" customWidth="1"/>
    <col min="6" max="6" width="12.7109375" customWidth="1"/>
  </cols>
  <sheetData>
    <row r="1" spans="1:10" ht="21" x14ac:dyDescent="0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</row>
    <row r="2" spans="1:10" ht="18.75" x14ac:dyDescent="0.3">
      <c r="A2" s="10">
        <v>7.1</v>
      </c>
      <c r="B2" s="10">
        <v>6.3</v>
      </c>
      <c r="C2" s="10">
        <v>6.2</v>
      </c>
      <c r="D2" s="10">
        <v>5.8</v>
      </c>
      <c r="E2" s="10">
        <v>7.7</v>
      </c>
      <c r="F2" s="10">
        <v>6.8</v>
      </c>
      <c r="G2" s="10">
        <v>6.7</v>
      </c>
      <c r="H2" s="10">
        <v>5.9</v>
      </c>
      <c r="I2" s="10">
        <v>5.7</v>
      </c>
      <c r="J2" s="10">
        <v>5.0999999999999996</v>
      </c>
    </row>
    <row r="3" spans="1:10" x14ac:dyDescent="0.25">
      <c r="A3" s="39" t="s">
        <v>58</v>
      </c>
      <c r="B3" s="39" t="s">
        <v>59</v>
      </c>
      <c r="C3" s="39" t="s">
        <v>60</v>
      </c>
      <c r="D3" s="39" t="s">
        <v>61</v>
      </c>
      <c r="E3" s="39" t="s">
        <v>62</v>
      </c>
      <c r="F3" s="39" t="s">
        <v>63</v>
      </c>
      <c r="G3" s="39" t="s">
        <v>64</v>
      </c>
    </row>
    <row r="4" spans="1:10" ht="23.25" x14ac:dyDescent="0.4">
      <c r="A4" s="39">
        <v>4</v>
      </c>
      <c r="B4" s="34" t="s">
        <v>46</v>
      </c>
      <c r="C4" s="36" t="s">
        <v>71</v>
      </c>
    </row>
    <row r="5" spans="1:10" ht="18.75" x14ac:dyDescent="0.3">
      <c r="A5" s="39">
        <v>5</v>
      </c>
      <c r="B5" s="10">
        <v>7.1</v>
      </c>
      <c r="C5" s="36">
        <f>B5*B5</f>
        <v>50.41</v>
      </c>
    </row>
    <row r="6" spans="1:10" ht="18.75" x14ac:dyDescent="0.3">
      <c r="A6" s="39">
        <v>6</v>
      </c>
      <c r="B6" s="10">
        <v>6.3</v>
      </c>
      <c r="C6" s="36">
        <f t="shared" ref="C6:C14" si="0">B6*B6</f>
        <v>39.69</v>
      </c>
    </row>
    <row r="7" spans="1:10" ht="18.75" x14ac:dyDescent="0.3">
      <c r="A7" s="39">
        <v>7</v>
      </c>
      <c r="B7" s="10">
        <v>6.2</v>
      </c>
      <c r="C7" s="36">
        <f t="shared" si="0"/>
        <v>38.440000000000005</v>
      </c>
    </row>
    <row r="8" spans="1:10" ht="18.75" x14ac:dyDescent="0.3">
      <c r="A8" s="39">
        <v>8</v>
      </c>
      <c r="B8" s="10">
        <v>5.8</v>
      </c>
      <c r="C8" s="36">
        <f t="shared" si="0"/>
        <v>33.64</v>
      </c>
    </row>
    <row r="9" spans="1:10" ht="18.75" x14ac:dyDescent="0.3">
      <c r="A9" s="39">
        <v>9</v>
      </c>
      <c r="B9" s="10">
        <v>7.7</v>
      </c>
      <c r="C9" s="36">
        <f t="shared" si="0"/>
        <v>59.290000000000006</v>
      </c>
    </row>
    <row r="10" spans="1:10" ht="18.75" x14ac:dyDescent="0.3">
      <c r="A10" s="39">
        <v>10</v>
      </c>
      <c r="B10" s="10">
        <v>6.8</v>
      </c>
      <c r="C10" s="36">
        <f t="shared" si="0"/>
        <v>46.239999999999995</v>
      </c>
    </row>
    <row r="11" spans="1:10" ht="18.75" x14ac:dyDescent="0.3">
      <c r="A11" s="39">
        <v>11</v>
      </c>
      <c r="B11" s="10">
        <v>6.7</v>
      </c>
      <c r="C11" s="36">
        <f t="shared" si="0"/>
        <v>44.89</v>
      </c>
    </row>
    <row r="12" spans="1:10" ht="18.75" x14ac:dyDescent="0.3">
      <c r="A12" s="39">
        <v>12</v>
      </c>
      <c r="B12" s="10">
        <v>5.9</v>
      </c>
      <c r="C12" s="36">
        <f t="shared" si="0"/>
        <v>34.81</v>
      </c>
    </row>
    <row r="13" spans="1:10" ht="18.75" x14ac:dyDescent="0.3">
      <c r="A13" s="39">
        <v>13</v>
      </c>
      <c r="B13" s="10">
        <v>5.7</v>
      </c>
      <c r="C13" s="36">
        <f t="shared" si="0"/>
        <v>32.49</v>
      </c>
    </row>
    <row r="14" spans="1:10" ht="18.75" x14ac:dyDescent="0.3">
      <c r="A14" s="39">
        <v>14</v>
      </c>
      <c r="B14" s="10">
        <v>5.0999999999999996</v>
      </c>
      <c r="C14" s="36">
        <f t="shared" si="0"/>
        <v>26.009999999999998</v>
      </c>
    </row>
    <row r="15" spans="1:10" ht="34.5" x14ac:dyDescent="0.6">
      <c r="A15" s="37" t="s">
        <v>56</v>
      </c>
      <c r="B15" s="35">
        <f>AVERAGE(B5:B14)</f>
        <v>6.33</v>
      </c>
    </row>
    <row r="16" spans="1:10" ht="42" customHeight="1" x14ac:dyDescent="0.35">
      <c r="A16" s="223"/>
      <c r="B16" s="222"/>
      <c r="C16" s="38">
        <f>SUM(C5:C14)/10</f>
        <v>40.591000000000001</v>
      </c>
    </row>
    <row r="20" spans="6:6" ht="23.25" x14ac:dyDescent="0.35">
      <c r="F20" s="47">
        <f>C16-B15^2</f>
        <v>0.52210000000000178</v>
      </c>
    </row>
  </sheetData>
  <mergeCells count="1">
    <mergeCell ref="A16:B16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41" r:id="rId4">
          <objectPr defaultSize="0" autoPict="0" r:id="rId5">
            <anchor moveWithCells="1">
              <from>
                <xdr:col>0</xdr:col>
                <xdr:colOff>0</xdr:colOff>
                <xdr:row>14</xdr:row>
                <xdr:rowOff>438150</xdr:rowOff>
              </from>
              <to>
                <xdr:col>1</xdr:col>
                <xdr:colOff>590550</xdr:colOff>
                <xdr:row>15</xdr:row>
                <xdr:rowOff>457200</xdr:rowOff>
              </to>
            </anchor>
          </objectPr>
        </oleObject>
      </mc:Choice>
      <mc:Fallback>
        <oleObject progId="Equation.3" shapeId="10241" r:id="rId4"/>
      </mc:Fallback>
    </mc:AlternateContent>
    <mc:AlternateContent xmlns:mc="http://schemas.openxmlformats.org/markup-compatibility/2006">
      <mc:Choice Requires="x14">
        <oleObject progId="Equation.3" shapeId="10242" r:id="rId6">
          <objectPr defaultSize="0" autoPict="0" r:id="rId7">
            <anchor moveWithCells="1" sizeWithCells="1">
              <from>
                <xdr:col>0</xdr:col>
                <xdr:colOff>76200</xdr:colOff>
                <xdr:row>16</xdr:row>
                <xdr:rowOff>85725</xdr:rowOff>
              </from>
              <to>
                <xdr:col>4</xdr:col>
                <xdr:colOff>552450</xdr:colOff>
                <xdr:row>22</xdr:row>
                <xdr:rowOff>95250</xdr:rowOff>
              </to>
            </anchor>
          </objectPr>
        </oleObject>
      </mc:Choice>
      <mc:Fallback>
        <oleObject progId="Equation.3" shapeId="10242" r:id="rId6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"/>
  <sheetViews>
    <sheetView workbookViewId="0">
      <selection sqref="A1:G10"/>
    </sheetView>
  </sheetViews>
  <sheetFormatPr defaultColWidth="22.28515625" defaultRowHeight="75" customHeight="1" x14ac:dyDescent="0.25"/>
  <cols>
    <col min="1" max="2" width="22.28515625" style="40"/>
    <col min="3" max="3" width="11.42578125" style="40" customWidth="1"/>
    <col min="4" max="4" width="20.140625" style="40" customWidth="1"/>
    <col min="5" max="5" width="18.28515625" style="40" customWidth="1"/>
    <col min="6" max="6" width="29.5703125" style="40" customWidth="1"/>
    <col min="7" max="7" width="18.28515625" style="40" customWidth="1"/>
    <col min="8" max="16384" width="22.28515625" style="40"/>
  </cols>
  <sheetData>
    <row r="1" spans="1:7" ht="54.75" x14ac:dyDescent="0.25">
      <c r="A1" s="41" t="s">
        <v>68</v>
      </c>
      <c r="B1" s="41" t="s">
        <v>69</v>
      </c>
      <c r="C1" s="42" t="s">
        <v>67</v>
      </c>
      <c r="D1" s="22"/>
      <c r="E1" s="22"/>
      <c r="F1" s="22"/>
      <c r="G1" s="22"/>
    </row>
    <row r="2" spans="1:7" ht="20.25" x14ac:dyDescent="0.25">
      <c r="A2" s="41">
        <v>0</v>
      </c>
      <c r="B2" s="41">
        <v>8</v>
      </c>
      <c r="C2" s="41">
        <f t="shared" ref="C2:C7" si="0">A2*B2</f>
        <v>0</v>
      </c>
      <c r="D2" s="41">
        <f t="shared" ref="D2:D7" si="1">ABS(A2-$B$9)</f>
        <v>1.74</v>
      </c>
      <c r="E2" s="41">
        <f t="shared" ref="E2:E7" si="2">D2*B2</f>
        <v>13.92</v>
      </c>
      <c r="F2" s="41">
        <f t="shared" ref="F2:F7" si="3">D2^2</f>
        <v>3.0276000000000001</v>
      </c>
      <c r="G2" s="41">
        <f t="shared" ref="G2:G7" si="4">F2*B2</f>
        <v>24.220800000000001</v>
      </c>
    </row>
    <row r="3" spans="1:7" ht="20.25" x14ac:dyDescent="0.25">
      <c r="A3" s="41">
        <v>1</v>
      </c>
      <c r="B3" s="41">
        <v>18</v>
      </c>
      <c r="C3" s="41">
        <f t="shared" si="0"/>
        <v>18</v>
      </c>
      <c r="D3" s="41">
        <f t="shared" si="1"/>
        <v>0.74</v>
      </c>
      <c r="E3" s="41">
        <f t="shared" si="2"/>
        <v>13.32</v>
      </c>
      <c r="F3" s="41">
        <f t="shared" si="3"/>
        <v>0.54759999999999998</v>
      </c>
      <c r="G3" s="41">
        <f t="shared" si="4"/>
        <v>9.8567999999999998</v>
      </c>
    </row>
    <row r="4" spans="1:7" ht="20.25" x14ac:dyDescent="0.25">
      <c r="A4" s="41">
        <v>2</v>
      </c>
      <c r="B4" s="41">
        <v>11</v>
      </c>
      <c r="C4" s="41">
        <f t="shared" si="0"/>
        <v>22</v>
      </c>
      <c r="D4" s="41">
        <f t="shared" si="1"/>
        <v>0.26</v>
      </c>
      <c r="E4" s="41">
        <f t="shared" si="2"/>
        <v>2.8600000000000003</v>
      </c>
      <c r="F4" s="41">
        <f t="shared" si="3"/>
        <v>6.7600000000000007E-2</v>
      </c>
      <c r="G4" s="41">
        <f t="shared" si="4"/>
        <v>0.74360000000000004</v>
      </c>
    </row>
    <row r="5" spans="1:7" ht="20.25" x14ac:dyDescent="0.25">
      <c r="A5" s="41">
        <v>3</v>
      </c>
      <c r="B5" s="41">
        <v>7</v>
      </c>
      <c r="C5" s="41">
        <f t="shared" si="0"/>
        <v>21</v>
      </c>
      <c r="D5" s="41">
        <f t="shared" si="1"/>
        <v>1.26</v>
      </c>
      <c r="E5" s="41">
        <f t="shared" si="2"/>
        <v>8.82</v>
      </c>
      <c r="F5" s="41">
        <f t="shared" si="3"/>
        <v>1.5876000000000001</v>
      </c>
      <c r="G5" s="41">
        <f t="shared" si="4"/>
        <v>11.113200000000001</v>
      </c>
    </row>
    <row r="6" spans="1:7" ht="20.25" x14ac:dyDescent="0.25">
      <c r="A6" s="41">
        <v>4</v>
      </c>
      <c r="B6" s="41">
        <v>4</v>
      </c>
      <c r="C6" s="41">
        <f t="shared" si="0"/>
        <v>16</v>
      </c>
      <c r="D6" s="41">
        <f t="shared" si="1"/>
        <v>2.2599999999999998</v>
      </c>
      <c r="E6" s="41">
        <f t="shared" si="2"/>
        <v>9.0399999999999991</v>
      </c>
      <c r="F6" s="41">
        <f t="shared" si="3"/>
        <v>5.1075999999999988</v>
      </c>
      <c r="G6" s="41">
        <f t="shared" si="4"/>
        <v>20.430399999999995</v>
      </c>
    </row>
    <row r="7" spans="1:7" ht="20.25" x14ac:dyDescent="0.25">
      <c r="A7" s="41">
        <v>5</v>
      </c>
      <c r="B7" s="41">
        <v>2</v>
      </c>
      <c r="C7" s="41">
        <f t="shared" si="0"/>
        <v>10</v>
      </c>
      <c r="D7" s="41">
        <f t="shared" si="1"/>
        <v>3.26</v>
      </c>
      <c r="E7" s="41">
        <f t="shared" si="2"/>
        <v>6.52</v>
      </c>
      <c r="F7" s="41">
        <f t="shared" si="3"/>
        <v>10.627599999999999</v>
      </c>
      <c r="G7" s="41">
        <f t="shared" si="4"/>
        <v>21.255199999999999</v>
      </c>
    </row>
    <row r="8" spans="1:7" ht="28.5" x14ac:dyDescent="0.25">
      <c r="A8" s="43" t="s">
        <v>70</v>
      </c>
      <c r="B8" s="41">
        <f>SUM(B2:B7)</f>
        <v>50</v>
      </c>
      <c r="C8" s="41">
        <f>SUM(C2:C7)</f>
        <v>87</v>
      </c>
      <c r="D8" s="41"/>
      <c r="E8" s="41">
        <f>SUM(E2:E7)</f>
        <v>54.480000000000004</v>
      </c>
      <c r="F8" s="41"/>
      <c r="G8" s="41">
        <f>SUM(G2:G7)</f>
        <v>87.62</v>
      </c>
    </row>
    <row r="9" spans="1:7" ht="75" customHeight="1" x14ac:dyDescent="0.25">
      <c r="A9" s="22"/>
      <c r="B9" s="44">
        <f>C8/B8</f>
        <v>1.74</v>
      </c>
      <c r="D9" s="22"/>
      <c r="E9" s="45">
        <f>E8/B8</f>
        <v>1.0896000000000001</v>
      </c>
      <c r="F9" s="22"/>
      <c r="G9" s="45">
        <f>G8/B8</f>
        <v>1.7524000000000002</v>
      </c>
    </row>
    <row r="10" spans="1:7" ht="75" customHeight="1" x14ac:dyDescent="0.25">
      <c r="A10"/>
    </row>
    <row r="11" spans="1:7" ht="75" customHeight="1" x14ac:dyDescent="0.2">
      <c r="A11" s="46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9217" r:id="rId3">
          <objectPr defaultSize="0" autoPict="0" r:id="rId4">
            <anchor moveWithCells="1" sizeWithCells="1">
              <from>
                <xdr:col>3</xdr:col>
                <xdr:colOff>0</xdr:colOff>
                <xdr:row>0</xdr:row>
                <xdr:rowOff>0</xdr:rowOff>
              </from>
              <to>
                <xdr:col>3</xdr:col>
                <xdr:colOff>1057275</xdr:colOff>
                <xdr:row>0</xdr:row>
                <xdr:rowOff>495300</xdr:rowOff>
              </to>
            </anchor>
          </objectPr>
        </oleObject>
      </mc:Choice>
      <mc:Fallback>
        <oleObject progId="Equation.3" shapeId="9217" r:id="rId3"/>
      </mc:Fallback>
    </mc:AlternateContent>
    <mc:AlternateContent xmlns:mc="http://schemas.openxmlformats.org/markup-compatibility/2006">
      <mc:Choice Requires="x14">
        <oleObject progId="Equation.3" shapeId="9218" r:id="rId5">
          <objectPr defaultSize="0" autoPict="0" r:id="rId6">
            <anchor moveWithCells="1" siz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1076325</xdr:colOff>
                <xdr:row>0</xdr:row>
                <xdr:rowOff>485775</xdr:rowOff>
              </to>
            </anchor>
          </objectPr>
        </oleObject>
      </mc:Choice>
      <mc:Fallback>
        <oleObject progId="Equation.3" shapeId="9218" r:id="rId5"/>
      </mc:Fallback>
    </mc:AlternateContent>
    <mc:AlternateContent xmlns:mc="http://schemas.openxmlformats.org/markup-compatibility/2006">
      <mc:Choice Requires="x14">
        <oleObject progId="Equation.3" shapeId="9219" r:id="rId7">
          <objectPr defaultSize="0" autoPict="0" r:id="rId8">
            <anchor moveWithCells="1" siz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1123950</xdr:colOff>
                <xdr:row>0</xdr:row>
                <xdr:rowOff>514350</xdr:rowOff>
              </to>
            </anchor>
          </objectPr>
        </oleObject>
      </mc:Choice>
      <mc:Fallback>
        <oleObject progId="Equation.3" shapeId="9219" r:id="rId7"/>
      </mc:Fallback>
    </mc:AlternateContent>
    <mc:AlternateContent xmlns:mc="http://schemas.openxmlformats.org/markup-compatibility/2006">
      <mc:Choice Requires="x14">
        <oleObject progId="Equation.3" shapeId="9220" r:id="rId9">
          <objectPr defaultSize="0" autoPict="0" r:id="rId10">
            <anchor moveWithCells="1" siz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1152525</xdr:colOff>
                <xdr:row>0</xdr:row>
                <xdr:rowOff>457200</xdr:rowOff>
              </to>
            </anchor>
          </objectPr>
        </oleObject>
      </mc:Choice>
      <mc:Fallback>
        <oleObject progId="Equation.3" shapeId="9220" r:id="rId9"/>
      </mc:Fallback>
    </mc:AlternateContent>
    <mc:AlternateContent xmlns:mc="http://schemas.openxmlformats.org/markup-compatibility/2006">
      <mc:Choice Requires="x14">
        <oleObject progId="Equation.3" shapeId="9222" r:id="rId11">
          <objectPr defaultSize="0" autoPict="0" r:id="rId12">
            <anchor moveWithCells="1" sizeWithCells="1">
              <from>
                <xdr:col>0</xdr:col>
                <xdr:colOff>28575</xdr:colOff>
                <xdr:row>8</xdr:row>
                <xdr:rowOff>28575</xdr:rowOff>
              </from>
              <to>
                <xdr:col>0</xdr:col>
                <xdr:colOff>1466850</xdr:colOff>
                <xdr:row>8</xdr:row>
                <xdr:rowOff>857250</xdr:rowOff>
              </to>
            </anchor>
          </objectPr>
        </oleObject>
      </mc:Choice>
      <mc:Fallback>
        <oleObject progId="Equation.3" shapeId="9222" r:id="rId11"/>
      </mc:Fallback>
    </mc:AlternateContent>
    <mc:AlternateContent xmlns:mc="http://schemas.openxmlformats.org/markup-compatibility/2006">
      <mc:Choice Requires="x14">
        <oleObject progId="Equation.3" shapeId="9225" r:id="rId13">
          <objectPr defaultSize="0" autoPict="0" r:id="rId14">
            <anchor moveWithCells="1" sizeWithCells="1">
              <from>
                <xdr:col>5</xdr:col>
                <xdr:colOff>47625</xdr:colOff>
                <xdr:row>7</xdr:row>
                <xdr:rowOff>361950</xdr:rowOff>
              </from>
              <to>
                <xdr:col>5</xdr:col>
                <xdr:colOff>1876425</xdr:colOff>
                <xdr:row>8</xdr:row>
                <xdr:rowOff>847725</xdr:rowOff>
              </to>
            </anchor>
          </objectPr>
        </oleObject>
      </mc:Choice>
      <mc:Fallback>
        <oleObject progId="Equation.3" shapeId="9225" r:id="rId13"/>
      </mc:Fallback>
    </mc:AlternateContent>
    <mc:AlternateContent xmlns:mc="http://schemas.openxmlformats.org/markup-compatibility/2006">
      <mc:Choice Requires="x14">
        <oleObject progId="Equation.3" shapeId="9226" r:id="rId15">
          <objectPr defaultSize="0" autoPict="0" r:id="rId16">
            <anchor moveWithCells="1" sizeWithCells="1">
              <from>
                <xdr:col>3</xdr:col>
                <xdr:colOff>0</xdr:colOff>
                <xdr:row>7</xdr:row>
                <xdr:rowOff>361950</xdr:rowOff>
              </from>
              <to>
                <xdr:col>3</xdr:col>
                <xdr:colOff>1266825</xdr:colOff>
                <xdr:row>8</xdr:row>
                <xdr:rowOff>809625</xdr:rowOff>
              </to>
            </anchor>
          </objectPr>
        </oleObject>
      </mc:Choice>
      <mc:Fallback>
        <oleObject progId="Equation.3" shapeId="9226" r:id="rId15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3"/>
  <sheetViews>
    <sheetView topLeftCell="A8" workbookViewId="0">
      <selection activeCell="H20" sqref="H20"/>
    </sheetView>
  </sheetViews>
  <sheetFormatPr defaultRowHeight="18.75" x14ac:dyDescent="0.3"/>
  <cols>
    <col min="1" max="1" width="9.140625" style="17"/>
    <col min="2" max="2" width="18" style="17" bestFit="1" customWidth="1"/>
    <col min="3" max="3" width="22.85546875" style="17" bestFit="1" customWidth="1"/>
    <col min="4" max="4" width="15.85546875" style="17" customWidth="1"/>
    <col min="5" max="5" width="15.140625" style="17" customWidth="1"/>
    <col min="6" max="6" width="14.28515625" style="17" customWidth="1"/>
    <col min="7" max="7" width="14" style="17" bestFit="1" customWidth="1"/>
    <col min="8" max="8" width="17.5703125" style="17" bestFit="1" customWidth="1"/>
    <col min="9" max="9" width="15.5703125" style="17" bestFit="1" customWidth="1"/>
    <col min="10" max="16384" width="9.140625" style="17"/>
  </cols>
  <sheetData>
    <row r="1" spans="1:9" ht="21" x14ac:dyDescent="0.4">
      <c r="B1" s="10" t="s">
        <v>79</v>
      </c>
      <c r="C1" s="10" t="s">
        <v>80</v>
      </c>
      <c r="G1" s="10" t="s">
        <v>12</v>
      </c>
      <c r="H1" s="10" t="s">
        <v>72</v>
      </c>
      <c r="I1" s="10" t="s">
        <v>73</v>
      </c>
    </row>
    <row r="2" spans="1:9" x14ac:dyDescent="0.3">
      <c r="B2" s="10" t="s">
        <v>81</v>
      </c>
      <c r="C2" s="10">
        <v>32</v>
      </c>
      <c r="G2" s="10" t="s">
        <v>74</v>
      </c>
      <c r="H2" s="10">
        <v>300</v>
      </c>
      <c r="I2" s="10">
        <v>32</v>
      </c>
    </row>
    <row r="3" spans="1:9" x14ac:dyDescent="0.3">
      <c r="B3" s="10" t="s">
        <v>75</v>
      </c>
      <c r="C3" s="10">
        <v>56</v>
      </c>
      <c r="G3" s="10" t="s">
        <v>75</v>
      </c>
      <c r="H3" s="10">
        <v>500</v>
      </c>
      <c r="I3" s="10">
        <v>56</v>
      </c>
    </row>
    <row r="4" spans="1:9" x14ac:dyDescent="0.3">
      <c r="B4" s="10" t="s">
        <v>76</v>
      </c>
      <c r="C4" s="10">
        <v>120</v>
      </c>
      <c r="G4" s="10" t="s">
        <v>76</v>
      </c>
      <c r="H4" s="10">
        <v>700</v>
      </c>
      <c r="I4" s="10">
        <v>120</v>
      </c>
    </row>
    <row r="5" spans="1:9" x14ac:dyDescent="0.3">
      <c r="B5" s="10" t="s">
        <v>77</v>
      </c>
      <c r="C5" s="10">
        <v>104</v>
      </c>
      <c r="G5" s="10" t="s">
        <v>77</v>
      </c>
      <c r="H5" s="10">
        <v>900</v>
      </c>
      <c r="I5" s="10">
        <v>104</v>
      </c>
    </row>
    <row r="6" spans="1:9" x14ac:dyDescent="0.3">
      <c r="B6" s="10" t="s">
        <v>82</v>
      </c>
      <c r="C6" s="10">
        <v>88</v>
      </c>
      <c r="G6" s="10" t="s">
        <v>78</v>
      </c>
      <c r="H6" s="10">
        <v>1100</v>
      </c>
      <c r="I6" s="10">
        <v>88</v>
      </c>
    </row>
    <row r="7" spans="1:9" x14ac:dyDescent="0.3">
      <c r="B7" s="48" t="s">
        <v>83</v>
      </c>
      <c r="C7" s="10">
        <f>SUM(C2:C6)</f>
        <v>400</v>
      </c>
      <c r="H7" s="48" t="s">
        <v>83</v>
      </c>
      <c r="I7" s="10">
        <f>SUM(I2:I6)</f>
        <v>400</v>
      </c>
    </row>
    <row r="8" spans="1:9" x14ac:dyDescent="0.3">
      <c r="A8" s="53" t="s">
        <v>58</v>
      </c>
      <c r="B8" s="53" t="s">
        <v>59</v>
      </c>
      <c r="C8" s="53" t="s">
        <v>60</v>
      </c>
      <c r="D8" s="53" t="s">
        <v>61</v>
      </c>
      <c r="E8" s="53" t="s">
        <v>62</v>
      </c>
      <c r="F8" s="53" t="s">
        <v>63</v>
      </c>
    </row>
    <row r="9" spans="1:9" ht="24" x14ac:dyDescent="0.4">
      <c r="A9" s="17">
        <v>9</v>
      </c>
      <c r="B9" s="10" t="s">
        <v>12</v>
      </c>
      <c r="C9" s="10" t="s">
        <v>72</v>
      </c>
      <c r="D9" s="10" t="s">
        <v>73</v>
      </c>
      <c r="E9" s="10" t="s">
        <v>84</v>
      </c>
      <c r="F9" s="10" t="s">
        <v>85</v>
      </c>
    </row>
    <row r="10" spans="1:9" x14ac:dyDescent="0.3">
      <c r="A10" s="17">
        <v>10</v>
      </c>
      <c r="B10" s="10" t="s">
        <v>74</v>
      </c>
      <c r="C10" s="10">
        <v>0.3</v>
      </c>
      <c r="D10" s="10">
        <v>32</v>
      </c>
      <c r="E10" s="10">
        <f>C10*D10</f>
        <v>9.6</v>
      </c>
      <c r="F10" s="10">
        <f>C10*C10*D10</f>
        <v>2.88</v>
      </c>
    </row>
    <row r="11" spans="1:9" x14ac:dyDescent="0.3">
      <c r="A11" s="17">
        <v>11</v>
      </c>
      <c r="B11" s="10" t="s">
        <v>75</v>
      </c>
      <c r="C11" s="10">
        <v>0.5</v>
      </c>
      <c r="D11" s="10">
        <v>56</v>
      </c>
      <c r="E11" s="10">
        <f>C11*D11</f>
        <v>28</v>
      </c>
      <c r="F11" s="10">
        <f>C11*C11*D11</f>
        <v>14</v>
      </c>
    </row>
    <row r="12" spans="1:9" x14ac:dyDescent="0.3">
      <c r="A12" s="17">
        <v>12</v>
      </c>
      <c r="B12" s="10" t="s">
        <v>76</v>
      </c>
      <c r="C12" s="10">
        <v>0.7</v>
      </c>
      <c r="D12" s="10">
        <v>120</v>
      </c>
      <c r="E12" s="10">
        <f>C12*D12</f>
        <v>84</v>
      </c>
      <c r="F12" s="10">
        <f>C12*C12*D12</f>
        <v>58.79999999999999</v>
      </c>
    </row>
    <row r="13" spans="1:9" x14ac:dyDescent="0.3">
      <c r="A13" s="17">
        <v>13</v>
      </c>
      <c r="B13" s="10" t="s">
        <v>77</v>
      </c>
      <c r="C13" s="10">
        <v>0.9</v>
      </c>
      <c r="D13" s="10">
        <v>104</v>
      </c>
      <c r="E13" s="10">
        <f>C13*D13</f>
        <v>93.600000000000009</v>
      </c>
      <c r="F13" s="10">
        <f>C13*C13*D13</f>
        <v>84.240000000000009</v>
      </c>
    </row>
    <row r="14" spans="1:9" x14ac:dyDescent="0.3">
      <c r="A14" s="17">
        <v>14</v>
      </c>
      <c r="B14" s="10" t="s">
        <v>78</v>
      </c>
      <c r="C14" s="10">
        <v>1.1000000000000001</v>
      </c>
      <c r="D14" s="10">
        <v>88</v>
      </c>
      <c r="E14" s="10">
        <f>C14*D14</f>
        <v>96.800000000000011</v>
      </c>
      <c r="F14" s="10">
        <f>C14*C14*D14</f>
        <v>106.48000000000002</v>
      </c>
    </row>
    <row r="15" spans="1:9" x14ac:dyDescent="0.3">
      <c r="A15" s="17">
        <v>15</v>
      </c>
      <c r="C15" s="48" t="s">
        <v>83</v>
      </c>
      <c r="D15" s="10">
        <f>SUM(D10:D14)</f>
        <v>400</v>
      </c>
      <c r="E15" s="10">
        <f>SUM(E10:E14)</f>
        <v>312</v>
      </c>
      <c r="F15" s="10">
        <f>SUM(F10:F14)</f>
        <v>266.40000000000003</v>
      </c>
    </row>
    <row r="16" spans="1:9" ht="36.75" customHeight="1" x14ac:dyDescent="0.35">
      <c r="A16" s="17">
        <v>16</v>
      </c>
      <c r="D16"/>
      <c r="E16" s="49">
        <f>E15/D15</f>
        <v>0.78</v>
      </c>
    </row>
    <row r="17" spans="1:6" x14ac:dyDescent="0.3">
      <c r="A17" s="17">
        <v>17</v>
      </c>
      <c r="E17" s="51" t="s">
        <v>86</v>
      </c>
    </row>
    <row r="18" spans="1:6" ht="36" customHeight="1" x14ac:dyDescent="0.35">
      <c r="A18" s="17">
        <v>18</v>
      </c>
      <c r="E18"/>
      <c r="F18" s="49">
        <f>F15/D15</f>
        <v>0.66600000000000004</v>
      </c>
    </row>
    <row r="19" spans="1:6" ht="21.75" x14ac:dyDescent="0.3">
      <c r="A19" s="17">
        <v>19</v>
      </c>
      <c r="F19" s="51" t="s">
        <v>87</v>
      </c>
    </row>
    <row r="20" spans="1:6" ht="84.75" customHeight="1" x14ac:dyDescent="0.3">
      <c r="A20" s="17">
        <v>20</v>
      </c>
      <c r="C20"/>
      <c r="E20" s="50">
        <f>F18-E16*E16</f>
        <v>5.7599999999999985E-2</v>
      </c>
      <c r="F20" s="52" t="s">
        <v>88</v>
      </c>
    </row>
    <row r="21" spans="1:6" x14ac:dyDescent="0.3">
      <c r="A21" s="17">
        <v>21</v>
      </c>
      <c r="B21"/>
    </row>
    <row r="22" spans="1:6" ht="25.5" x14ac:dyDescent="0.35">
      <c r="A22" s="17">
        <v>22</v>
      </c>
      <c r="D22" s="54">
        <f>E20^(1/2)</f>
        <v>0.23999999999999996</v>
      </c>
      <c r="E22" s="55" t="s">
        <v>86</v>
      </c>
    </row>
    <row r="23" spans="1:6" x14ac:dyDescent="0.3">
      <c r="A23" s="17">
        <v>23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2289" r:id="rId3">
          <objectPr defaultSize="0" autoPict="0" r:id="rId4">
            <anchor moveWithCells="1" siz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1009650</xdr:colOff>
                <xdr:row>16</xdr:row>
                <xdr:rowOff>76200</xdr:rowOff>
              </to>
            </anchor>
          </objectPr>
        </oleObject>
      </mc:Choice>
      <mc:Fallback>
        <oleObject progId="Equation.3" shapeId="12289" r:id="rId3"/>
      </mc:Fallback>
    </mc:AlternateContent>
    <mc:AlternateContent xmlns:mc="http://schemas.openxmlformats.org/markup-compatibility/2006">
      <mc:Choice Requires="x14">
        <oleObject progId="Equation.3" shapeId="12290" r:id="rId5">
          <objectPr defaultSize="0" autoPict="0" r:id="rId6">
            <anchor moveWithCells="1" sizeWithCells="1">
              <from>
                <xdr:col>4</xdr:col>
                <xdr:colOff>0</xdr:colOff>
                <xdr:row>17</xdr:row>
                <xdr:rowOff>0</xdr:rowOff>
              </from>
              <to>
                <xdr:col>4</xdr:col>
                <xdr:colOff>781050</xdr:colOff>
                <xdr:row>18</xdr:row>
                <xdr:rowOff>66675</xdr:rowOff>
              </to>
            </anchor>
          </objectPr>
        </oleObject>
      </mc:Choice>
      <mc:Fallback>
        <oleObject progId="Equation.3" shapeId="12290" r:id="rId5"/>
      </mc:Fallback>
    </mc:AlternateContent>
    <mc:AlternateContent xmlns:mc="http://schemas.openxmlformats.org/markup-compatibility/2006">
      <mc:Choice Requires="x14">
        <oleObject progId="Equation.3" shapeId="12292" r:id="rId7">
          <objectPr defaultSize="0" autoPict="0" r:id="rId8">
            <anchor moveWithCells="1" sizeWithCells="1">
              <from>
                <xdr:col>1</xdr:col>
                <xdr:colOff>295275</xdr:colOff>
                <xdr:row>18</xdr:row>
                <xdr:rowOff>238125</xdr:rowOff>
              </from>
              <to>
                <xdr:col>4</xdr:col>
                <xdr:colOff>9525</xdr:colOff>
                <xdr:row>19</xdr:row>
                <xdr:rowOff>933450</xdr:rowOff>
              </to>
            </anchor>
          </objectPr>
        </oleObject>
      </mc:Choice>
      <mc:Fallback>
        <oleObject progId="Equation.3" shapeId="12292" r:id="rId7"/>
      </mc:Fallback>
    </mc:AlternateContent>
    <mc:AlternateContent xmlns:mc="http://schemas.openxmlformats.org/markup-compatibility/2006">
      <mc:Choice Requires="x14">
        <oleObject progId="Equation.3" shapeId="12293" r:id="rId9">
          <objectPr defaultSize="0" autoPict="0" r:id="rId10">
            <anchor moveWithCells="1" sizeWithCells="1">
              <from>
                <xdr:col>1</xdr:col>
                <xdr:colOff>866775</xdr:colOff>
                <xdr:row>19</xdr:row>
                <xdr:rowOff>1076325</xdr:rowOff>
              </from>
              <to>
                <xdr:col>2</xdr:col>
                <xdr:colOff>1362075</xdr:colOff>
                <xdr:row>22</xdr:row>
                <xdr:rowOff>142875</xdr:rowOff>
              </to>
            </anchor>
          </objectPr>
        </oleObject>
      </mc:Choice>
      <mc:Fallback>
        <oleObject progId="Equation.3" shapeId="12293" r:id="rId9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J18"/>
  <sheetViews>
    <sheetView workbookViewId="0">
      <selection activeCell="H23" sqref="H23"/>
    </sheetView>
  </sheetViews>
  <sheetFormatPr defaultRowHeight="18.75" x14ac:dyDescent="0.3"/>
  <cols>
    <col min="1" max="4" width="9.140625" style="17"/>
    <col min="5" max="5" width="13.42578125" style="17" customWidth="1"/>
    <col min="6" max="6" width="9.140625" style="17"/>
    <col min="7" max="8" width="19.42578125" style="17" customWidth="1"/>
    <col min="9" max="9" width="17.28515625" style="17" customWidth="1"/>
    <col min="10" max="16384" width="9.140625" style="17"/>
  </cols>
  <sheetData>
    <row r="2" spans="2:10" ht="34.5" customHeight="1" x14ac:dyDescent="0.4">
      <c r="B2" s="224" t="s">
        <v>12</v>
      </c>
      <c r="C2" s="224"/>
      <c r="D2" s="34" t="s">
        <v>89</v>
      </c>
      <c r="E2" s="34" t="s">
        <v>90</v>
      </c>
      <c r="F2" s="34" t="s">
        <v>91</v>
      </c>
      <c r="G2" s="34"/>
      <c r="H2" s="22"/>
      <c r="I2" s="22"/>
      <c r="J2" s="56"/>
    </row>
    <row r="3" spans="2:10" x14ac:dyDescent="0.3">
      <c r="B3" s="10">
        <v>48</v>
      </c>
      <c r="C3" s="10">
        <v>49</v>
      </c>
      <c r="D3" s="10">
        <v>48.5</v>
      </c>
      <c r="E3" s="10">
        <v>20</v>
      </c>
      <c r="F3" s="10">
        <f>D3*E3</f>
        <v>970</v>
      </c>
      <c r="G3" s="10">
        <f>(D3-$F$8)^2*E3</f>
        <v>28.800000000000136</v>
      </c>
      <c r="H3" s="10">
        <f>(D3-$F$8)^3*E3</f>
        <v>-34.560000000000244</v>
      </c>
      <c r="I3" s="10">
        <f>(D3-$F$8)^4*E3</f>
        <v>41.472000000000399</v>
      </c>
      <c r="J3" s="12"/>
    </row>
    <row r="4" spans="2:10" x14ac:dyDescent="0.3">
      <c r="B4" s="10">
        <v>49</v>
      </c>
      <c r="C4" s="10">
        <v>50</v>
      </c>
      <c r="D4" s="10">
        <v>49.5</v>
      </c>
      <c r="E4" s="10">
        <v>50</v>
      </c>
      <c r="F4" s="10">
        <f>D4*E4</f>
        <v>2475</v>
      </c>
      <c r="G4" s="10">
        <f>(D4-$F$8)^2*E4</f>
        <v>2.0000000000000568</v>
      </c>
      <c r="H4" s="10">
        <f>(D4-$F$8)^3*E4</f>
        <v>-0.40000000000001712</v>
      </c>
      <c r="I4" s="10">
        <f>(D4-$F$8)^4*E4</f>
        <v>8.0000000000004554E-2</v>
      </c>
      <c r="J4" s="12"/>
    </row>
    <row r="5" spans="2:10" x14ac:dyDescent="0.3">
      <c r="B5" s="10">
        <v>50</v>
      </c>
      <c r="C5" s="10">
        <v>51</v>
      </c>
      <c r="D5" s="10">
        <v>50.5</v>
      </c>
      <c r="E5" s="10">
        <v>20</v>
      </c>
      <c r="F5" s="10">
        <f>D5*E5</f>
        <v>1010</v>
      </c>
      <c r="G5" s="10">
        <f>(D5-$F$8)^2*E5</f>
        <v>12.799999999999908</v>
      </c>
      <c r="H5" s="10">
        <f>(D5-$F$8)^3*E5</f>
        <v>10.239999999999892</v>
      </c>
      <c r="I5" s="10">
        <f>(D5-$F$8)^4*E5</f>
        <v>8.1919999999998829</v>
      </c>
      <c r="J5" s="12"/>
    </row>
    <row r="6" spans="2:10" x14ac:dyDescent="0.3">
      <c r="B6" s="10">
        <v>51</v>
      </c>
      <c r="C6" s="10">
        <v>52</v>
      </c>
      <c r="D6" s="10">
        <v>51.5</v>
      </c>
      <c r="E6" s="10">
        <v>10</v>
      </c>
      <c r="F6" s="10">
        <f>D6*E6</f>
        <v>515</v>
      </c>
      <c r="G6" s="10">
        <f>(D6-$F$8)^2*E6</f>
        <v>32.399999999999892</v>
      </c>
      <c r="H6" s="10">
        <f>(D6-$F$8)^3*E6</f>
        <v>58.319999999999723</v>
      </c>
      <c r="I6" s="10">
        <f>(D6-$F$8)^4*E6</f>
        <v>104.97599999999933</v>
      </c>
      <c r="J6" s="12"/>
    </row>
    <row r="7" spans="2:10" x14ac:dyDescent="0.3">
      <c r="B7" s="225" t="s">
        <v>92</v>
      </c>
      <c r="C7" s="226"/>
      <c r="D7" s="10"/>
      <c r="E7" s="10">
        <f>SUM(E3:E6)</f>
        <v>100</v>
      </c>
      <c r="F7" s="10">
        <f>SUM(F3:F6)</f>
        <v>4970</v>
      </c>
      <c r="G7" s="10">
        <f>SUM(G3:G6)</f>
        <v>76</v>
      </c>
      <c r="H7" s="10">
        <f>SUM(H3:H6)</f>
        <v>33.599999999999355</v>
      </c>
      <c r="I7" s="10">
        <f>SUM(I3:I6)</f>
        <v>154.71999999999963</v>
      </c>
      <c r="J7" s="12"/>
    </row>
    <row r="8" spans="2:10" ht="34.5" customHeight="1" x14ac:dyDescent="0.3">
      <c r="C8"/>
      <c r="E8" s="10"/>
      <c r="F8" s="59">
        <f>F7/E7</f>
        <v>49.7</v>
      </c>
      <c r="J8" s="12"/>
    </row>
    <row r="10" spans="2:10" ht="31.5" x14ac:dyDescent="0.55000000000000004">
      <c r="F10" s="60" t="s">
        <v>93</v>
      </c>
      <c r="G10" s="61">
        <f>G7/E7</f>
        <v>0.76</v>
      </c>
    </row>
    <row r="11" spans="2:10" ht="23.25" customHeight="1" x14ac:dyDescent="0.35">
      <c r="F11" s="62" t="s">
        <v>94</v>
      </c>
      <c r="G11" s="61">
        <f>G10^0.5</f>
        <v>0.87177978870813466</v>
      </c>
    </row>
    <row r="13" spans="2:10" ht="31.5" x14ac:dyDescent="0.55000000000000004">
      <c r="B13" s="67" t="s">
        <v>97</v>
      </c>
      <c r="G13" s="63" t="s">
        <v>95</v>
      </c>
      <c r="H13" s="65">
        <f>H7/E7</f>
        <v>0.33599999999999353</v>
      </c>
    </row>
    <row r="14" spans="2:10" ht="31.5" x14ac:dyDescent="0.55000000000000004">
      <c r="H14" s="63" t="s">
        <v>96</v>
      </c>
      <c r="I14" s="64">
        <f>I7/E7</f>
        <v>1.5471999999999964</v>
      </c>
    </row>
    <row r="15" spans="2:10" ht="25.5" x14ac:dyDescent="0.35">
      <c r="E15" s="66">
        <f>H13/(G11^3)</f>
        <v>0.50712951697702158</v>
      </c>
    </row>
    <row r="16" spans="2:10" x14ac:dyDescent="0.3">
      <c r="B16"/>
      <c r="G16" s="67" t="s">
        <v>98</v>
      </c>
    </row>
    <row r="18" spans="7:8" ht="25.5" x14ac:dyDescent="0.35">
      <c r="G18"/>
      <c r="H18" s="66">
        <f>I14/(G11^4)-3</f>
        <v>-0.32132963988920249</v>
      </c>
    </row>
  </sheetData>
  <mergeCells count="2">
    <mergeCell ref="B2:C2"/>
    <mergeCell ref="B7:C7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3313" r:id="rId4">
          <objectPr defaultSize="0" autoPict="0" r:id="rId5">
            <anchor moveWithCells="1" sizeWithCells="1">
              <from>
                <xdr:col>8</xdr:col>
                <xdr:colOff>85725</xdr:colOff>
                <xdr:row>1</xdr:row>
                <xdr:rowOff>66675</xdr:rowOff>
              </from>
              <to>
                <xdr:col>8</xdr:col>
                <xdr:colOff>1123950</xdr:colOff>
                <xdr:row>1</xdr:row>
                <xdr:rowOff>419100</xdr:rowOff>
              </to>
            </anchor>
          </objectPr>
        </oleObject>
      </mc:Choice>
      <mc:Fallback>
        <oleObject progId="Equation.3" shapeId="13313" r:id="rId4"/>
      </mc:Fallback>
    </mc:AlternateContent>
    <mc:AlternateContent xmlns:mc="http://schemas.openxmlformats.org/markup-compatibility/2006">
      <mc:Choice Requires="x14">
        <oleObject progId="Equation.3" shapeId="13314" r:id="rId6">
          <objectPr defaultSize="0" autoPict="0" r:id="rId7">
            <anchor moveWithCells="1" sizeWithCells="1">
              <from>
                <xdr:col>7</xdr:col>
                <xdr:colOff>0</xdr:colOff>
                <xdr:row>1</xdr:row>
                <xdr:rowOff>38100</xdr:rowOff>
              </from>
              <to>
                <xdr:col>7</xdr:col>
                <xdr:colOff>1181100</xdr:colOff>
                <xdr:row>1</xdr:row>
                <xdr:rowOff>409575</xdr:rowOff>
              </to>
            </anchor>
          </objectPr>
        </oleObject>
      </mc:Choice>
      <mc:Fallback>
        <oleObject progId="Equation.3" shapeId="13314" r:id="rId6"/>
      </mc:Fallback>
    </mc:AlternateContent>
    <mc:AlternateContent xmlns:mc="http://schemas.openxmlformats.org/markup-compatibility/2006">
      <mc:Choice Requires="x14">
        <oleObject progId="Equation.3" shapeId="13316" r:id="rId8">
          <objectPr defaultSize="0" autoPict="0" r:id="rId9">
            <anchor moveWithCells="1" sizeWithCells="1">
              <from>
                <xdr:col>5</xdr:col>
                <xdr:colOff>609600</xdr:colOff>
                <xdr:row>1</xdr:row>
                <xdr:rowOff>0</xdr:rowOff>
              </from>
              <to>
                <xdr:col>6</xdr:col>
                <xdr:colOff>1171575</xdr:colOff>
                <xdr:row>1</xdr:row>
                <xdr:rowOff>400050</xdr:rowOff>
              </to>
            </anchor>
          </objectPr>
        </oleObject>
      </mc:Choice>
      <mc:Fallback>
        <oleObject progId="Equation.3" shapeId="13316" r:id="rId8"/>
      </mc:Fallback>
    </mc:AlternateContent>
    <mc:AlternateContent xmlns:mc="http://schemas.openxmlformats.org/markup-compatibility/2006">
      <mc:Choice Requires="x14">
        <oleObject progId="Equation.3" shapeId="13319" r:id="rId10">
          <objectPr defaultSize="0" autoPict="0" r:id="rId11">
            <anchor moveWithCells="1" sizeWithCells="1">
              <from>
                <xdr:col>3</xdr:col>
                <xdr:colOff>600075</xdr:colOff>
                <xdr:row>7</xdr:row>
                <xdr:rowOff>38100</xdr:rowOff>
              </from>
              <to>
                <xdr:col>4</xdr:col>
                <xdr:colOff>542925</xdr:colOff>
                <xdr:row>7</xdr:row>
                <xdr:rowOff>371475</xdr:rowOff>
              </to>
            </anchor>
          </objectPr>
        </oleObject>
      </mc:Choice>
      <mc:Fallback>
        <oleObject progId="Equation.3" shapeId="13319" r:id="rId10"/>
      </mc:Fallback>
    </mc:AlternateContent>
    <mc:AlternateContent xmlns:mc="http://schemas.openxmlformats.org/markup-compatibility/2006">
      <mc:Choice Requires="x14">
        <oleObject progId="Equation.3" shapeId="13320" r:id="rId12">
          <objectPr defaultSize="0" autoPict="0" r:id="rId13">
            <anchor moveWithCells="1" sizeWithCells="1">
              <from>
                <xdr:col>1</xdr:col>
                <xdr:colOff>0</xdr:colOff>
                <xdr:row>13</xdr:row>
                <xdr:rowOff>38100</xdr:rowOff>
              </from>
              <to>
                <xdr:col>3</xdr:col>
                <xdr:colOff>542925</xdr:colOff>
                <xdr:row>16</xdr:row>
                <xdr:rowOff>219075</xdr:rowOff>
              </to>
            </anchor>
          </objectPr>
        </oleObject>
      </mc:Choice>
      <mc:Fallback>
        <oleObject progId="Equation.3" shapeId="13320" r:id="rId12"/>
      </mc:Fallback>
    </mc:AlternateContent>
    <mc:AlternateContent xmlns:mc="http://schemas.openxmlformats.org/markup-compatibility/2006">
      <mc:Choice Requires="x14">
        <oleObject progId="Equation.3" shapeId="13321" r:id="rId14">
          <objectPr defaultSize="0" autoPict="0" r:id="rId15">
            <anchor moveWithCells="1" sizeWithCells="1">
              <from>
                <xdr:col>5</xdr:col>
                <xdr:colOff>19050</xdr:colOff>
                <xdr:row>16</xdr:row>
                <xdr:rowOff>19050</xdr:rowOff>
              </from>
              <to>
                <xdr:col>7</xdr:col>
                <xdr:colOff>228600</xdr:colOff>
                <xdr:row>19</xdr:row>
                <xdr:rowOff>66675</xdr:rowOff>
              </to>
            </anchor>
          </objectPr>
        </oleObject>
      </mc:Choice>
      <mc:Fallback>
        <oleObject progId="Equation.3" shapeId="13321" r:id="rId14"/>
      </mc:Fallback>
    </mc:AlternateContent>
  </oleObjec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5"/>
  <sheetViews>
    <sheetView topLeftCell="A13" workbookViewId="0">
      <selection activeCell="A14" sqref="A14:L35"/>
    </sheetView>
  </sheetViews>
  <sheetFormatPr defaultRowHeight="18.75" x14ac:dyDescent="0.3"/>
  <cols>
    <col min="1" max="3" width="9.140625" style="69"/>
    <col min="4" max="4" width="11.85546875" style="69" customWidth="1"/>
    <col min="5" max="7" width="9.140625" style="69"/>
    <col min="8" max="8" width="10.42578125" style="69" customWidth="1"/>
    <col min="9" max="9" width="9.140625" style="69"/>
    <col min="10" max="10" width="13" style="69" bestFit="1" customWidth="1"/>
    <col min="11" max="11" width="9.140625" style="69"/>
    <col min="12" max="12" width="15.42578125" style="69" bestFit="1" customWidth="1"/>
    <col min="13" max="16384" width="9.140625" style="69"/>
  </cols>
  <sheetData>
    <row r="1" spans="1:10" x14ac:dyDescent="0.3">
      <c r="A1" s="68" t="s">
        <v>99</v>
      </c>
    </row>
    <row r="2" spans="1:10" x14ac:dyDescent="0.3">
      <c r="A2" s="70"/>
    </row>
    <row r="3" spans="1:10" x14ac:dyDescent="0.3">
      <c r="A3" s="70">
        <v>17.100000000000001</v>
      </c>
      <c r="B3" s="69">
        <v>21.4</v>
      </c>
      <c r="C3" s="69">
        <v>15.9</v>
      </c>
      <c r="D3" s="69">
        <v>19.100000000000001</v>
      </c>
      <c r="E3" s="69">
        <v>22.4</v>
      </c>
      <c r="F3" s="69">
        <v>20.7</v>
      </c>
      <c r="G3" s="69">
        <v>17.899999999999999</v>
      </c>
      <c r="H3" s="69">
        <v>18.600000000000001</v>
      </c>
      <c r="I3" s="69">
        <v>21.8</v>
      </c>
      <c r="J3" s="69">
        <v>16.100000000000001</v>
      </c>
    </row>
    <row r="4" spans="1:10" x14ac:dyDescent="0.3">
      <c r="A4" s="70">
        <v>19.100000000000001</v>
      </c>
      <c r="B4" s="69">
        <v>20.5</v>
      </c>
      <c r="C4" s="69">
        <v>14.2</v>
      </c>
      <c r="D4" s="69">
        <v>16.899999999999999</v>
      </c>
      <c r="E4" s="69">
        <v>17.8</v>
      </c>
      <c r="F4" s="69">
        <v>18.100000000000001</v>
      </c>
      <c r="G4" s="69">
        <v>19.100000000000001</v>
      </c>
      <c r="H4" s="69">
        <v>15.8</v>
      </c>
      <c r="I4" s="69">
        <v>18.8</v>
      </c>
      <c r="J4" s="69">
        <v>17.2</v>
      </c>
    </row>
    <row r="5" spans="1:10" x14ac:dyDescent="0.3">
      <c r="A5" s="70">
        <v>16.2</v>
      </c>
      <c r="B5" s="69">
        <v>17.3</v>
      </c>
      <c r="C5" s="69">
        <v>22.5</v>
      </c>
      <c r="D5" s="69">
        <v>19.899999999999999</v>
      </c>
      <c r="E5" s="69">
        <v>21.1</v>
      </c>
      <c r="F5" s="69">
        <v>15.1</v>
      </c>
      <c r="G5" s="69">
        <v>17.7</v>
      </c>
      <c r="H5" s="69">
        <v>19.8</v>
      </c>
      <c r="I5" s="69">
        <v>14.9</v>
      </c>
      <c r="J5" s="69">
        <v>20.5</v>
      </c>
    </row>
    <row r="6" spans="1:10" x14ac:dyDescent="0.3">
      <c r="A6" s="70">
        <v>17.5</v>
      </c>
      <c r="B6" s="69">
        <v>19.2</v>
      </c>
      <c r="C6" s="69">
        <v>18.5</v>
      </c>
      <c r="D6" s="69">
        <v>15.7</v>
      </c>
      <c r="E6" s="69">
        <v>14</v>
      </c>
      <c r="F6" s="69">
        <v>18.600000000000001</v>
      </c>
      <c r="G6" s="69">
        <v>21.2</v>
      </c>
      <c r="H6" s="69">
        <v>16.8</v>
      </c>
      <c r="I6" s="69">
        <v>19.3</v>
      </c>
      <c r="J6" s="69">
        <v>17.8</v>
      </c>
    </row>
    <row r="7" spans="1:10" x14ac:dyDescent="0.3">
      <c r="A7" s="70">
        <v>18.8</v>
      </c>
      <c r="B7" s="69">
        <v>14.3</v>
      </c>
      <c r="C7" s="69">
        <v>17.100000000000001</v>
      </c>
      <c r="D7" s="69">
        <v>19.5</v>
      </c>
      <c r="E7" s="69">
        <v>16.3</v>
      </c>
      <c r="F7" s="69">
        <v>20.3</v>
      </c>
      <c r="G7" s="69">
        <v>17.899999999999999</v>
      </c>
      <c r="H7" s="69">
        <v>23</v>
      </c>
      <c r="I7" s="69">
        <v>17.2</v>
      </c>
      <c r="J7" s="69">
        <v>15.2</v>
      </c>
    </row>
    <row r="8" spans="1:10" x14ac:dyDescent="0.3">
      <c r="A8" s="70">
        <v>15.6</v>
      </c>
      <c r="B8" s="69">
        <v>17.399999999999999</v>
      </c>
      <c r="C8" s="69">
        <v>21.3</v>
      </c>
      <c r="D8" s="69">
        <v>22.1</v>
      </c>
      <c r="E8" s="69">
        <v>20.100000000000001</v>
      </c>
      <c r="F8" s="69">
        <v>14.5</v>
      </c>
      <c r="G8" s="69">
        <v>19.3</v>
      </c>
      <c r="H8" s="69">
        <v>18.399999999999999</v>
      </c>
      <c r="I8" s="69">
        <v>16.7</v>
      </c>
      <c r="J8" s="69">
        <v>18.2</v>
      </c>
    </row>
    <row r="9" spans="1:10" x14ac:dyDescent="0.3">
      <c r="A9" s="70">
        <v>16.399999999999999</v>
      </c>
      <c r="B9" s="69">
        <v>18.7</v>
      </c>
      <c r="C9" s="69">
        <v>14.3</v>
      </c>
      <c r="D9" s="69">
        <v>18.2</v>
      </c>
      <c r="E9" s="69">
        <v>19.100000000000001</v>
      </c>
      <c r="F9" s="69">
        <v>15.3</v>
      </c>
      <c r="G9" s="69">
        <v>21.5</v>
      </c>
      <c r="H9" s="69">
        <v>17.2</v>
      </c>
      <c r="I9" s="69">
        <v>22.6</v>
      </c>
      <c r="J9" s="69">
        <v>20.399999999999999</v>
      </c>
    </row>
    <row r="10" spans="1:10" x14ac:dyDescent="0.3">
      <c r="A10" s="70">
        <v>22.8</v>
      </c>
      <c r="B10" s="69">
        <v>17.5</v>
      </c>
      <c r="C10" s="69">
        <v>20.2</v>
      </c>
      <c r="D10" s="69">
        <v>15.5</v>
      </c>
      <c r="E10" s="69">
        <v>21.6</v>
      </c>
      <c r="F10" s="69">
        <v>18.100000000000001</v>
      </c>
      <c r="G10" s="69">
        <v>20.5</v>
      </c>
      <c r="H10" s="69">
        <v>14</v>
      </c>
      <c r="I10" s="69">
        <v>18.899999999999999</v>
      </c>
      <c r="J10" s="69">
        <v>16.5</v>
      </c>
    </row>
    <row r="11" spans="1:10" x14ac:dyDescent="0.3">
      <c r="A11" s="70">
        <v>20.8</v>
      </c>
      <c r="B11" s="69">
        <v>16.600000000000001</v>
      </c>
      <c r="C11" s="69">
        <v>18.3</v>
      </c>
      <c r="D11" s="69">
        <v>21.7</v>
      </c>
      <c r="E11" s="69">
        <v>17.399999999999999</v>
      </c>
      <c r="F11" s="69">
        <v>23</v>
      </c>
      <c r="G11" s="69">
        <v>21.1</v>
      </c>
      <c r="H11" s="69">
        <v>19.8</v>
      </c>
      <c r="I11" s="69">
        <v>15.4</v>
      </c>
      <c r="J11" s="69">
        <v>18.100000000000001</v>
      </c>
    </row>
    <row r="12" spans="1:10" x14ac:dyDescent="0.3">
      <c r="A12" s="70">
        <v>18.899999999999999</v>
      </c>
      <c r="B12" s="69">
        <v>14.7</v>
      </c>
      <c r="C12" s="69">
        <v>19.5</v>
      </c>
      <c r="D12" s="69">
        <v>20.9</v>
      </c>
      <c r="E12" s="69">
        <v>15.8</v>
      </c>
      <c r="F12" s="69">
        <v>20.2</v>
      </c>
      <c r="G12" s="69">
        <v>21.8</v>
      </c>
      <c r="H12" s="69">
        <v>18.2</v>
      </c>
      <c r="I12" s="69">
        <v>21.2</v>
      </c>
      <c r="J12" s="69">
        <v>20.100000000000001</v>
      </c>
    </row>
    <row r="13" spans="1:10" ht="17.25" customHeight="1" x14ac:dyDescent="0.3">
      <c r="A13" s="70"/>
    </row>
    <row r="14" spans="1:10" x14ac:dyDescent="0.3">
      <c r="A14" s="68" t="s">
        <v>142</v>
      </c>
    </row>
    <row r="15" spans="1:10" x14ac:dyDescent="0.3">
      <c r="A15" s="70"/>
    </row>
    <row r="16" spans="1:10" ht="18" customHeight="1" x14ac:dyDescent="0.3">
      <c r="A16" s="71" t="s">
        <v>100</v>
      </c>
      <c r="E16" s="72">
        <f>MIN(A3:J12)</f>
        <v>14</v>
      </c>
    </row>
    <row r="17" spans="1:15" ht="18" customHeight="1" x14ac:dyDescent="0.3">
      <c r="A17" s="71" t="s">
        <v>101</v>
      </c>
      <c r="E17" s="72">
        <f>MAX(A3:J12)</f>
        <v>23</v>
      </c>
    </row>
    <row r="18" spans="1:15" ht="18" customHeight="1" x14ac:dyDescent="0.3">
      <c r="A18" s="71" t="s">
        <v>102</v>
      </c>
      <c r="E18" s="72">
        <f>E17-E16</f>
        <v>9</v>
      </c>
      <c r="G18" s="17"/>
      <c r="H18" s="17"/>
    </row>
    <row r="19" spans="1:15" ht="18" customHeight="1" x14ac:dyDescent="0.3">
      <c r="A19" s="71" t="s">
        <v>103</v>
      </c>
      <c r="E19" s="17"/>
      <c r="F19" s="72">
        <v>9</v>
      </c>
      <c r="G19" s="73" t="s">
        <v>104</v>
      </c>
    </row>
    <row r="20" spans="1:15" ht="36.75" customHeight="1" x14ac:dyDescent="0.3">
      <c r="A20" s="74" t="s">
        <v>105</v>
      </c>
      <c r="F20" s="72">
        <f>E18/F19</f>
        <v>1</v>
      </c>
      <c r="H20" s="17"/>
      <c r="I20" s="17"/>
    </row>
    <row r="21" spans="1:15" x14ac:dyDescent="0.3">
      <c r="A21" s="70"/>
      <c r="I21" s="17"/>
    </row>
    <row r="22" spans="1:15" x14ac:dyDescent="0.3">
      <c r="A22" s="68" t="s">
        <v>106</v>
      </c>
      <c r="G22" s="17"/>
    </row>
    <row r="23" spans="1:15" x14ac:dyDescent="0.3">
      <c r="A23" s="68" t="s">
        <v>107</v>
      </c>
    </row>
    <row r="24" spans="1:15" x14ac:dyDescent="0.3">
      <c r="A24" s="70"/>
    </row>
    <row r="25" spans="1:15" ht="24" customHeight="1" x14ac:dyDescent="0.3">
      <c r="C25" s="227" t="s">
        <v>12</v>
      </c>
      <c r="D25" s="228"/>
      <c r="E25" s="86"/>
      <c r="F25" s="86"/>
      <c r="G25" s="86"/>
      <c r="K25" s="87"/>
      <c r="L25" s="87"/>
      <c r="M25" s="87"/>
      <c r="N25" s="87"/>
      <c r="O25" s="87"/>
    </row>
    <row r="26" spans="1:15" x14ac:dyDescent="0.3">
      <c r="C26" s="82">
        <v>14</v>
      </c>
      <c r="D26" s="82">
        <v>15</v>
      </c>
      <c r="E26" s="83">
        <v>8</v>
      </c>
      <c r="F26" s="84">
        <f>E26/$E$35</f>
        <v>0.08</v>
      </c>
      <c r="G26" s="84">
        <f>F26</f>
        <v>0.08</v>
      </c>
      <c r="K26" s="87"/>
      <c r="L26" s="87"/>
      <c r="M26" s="87"/>
      <c r="N26" s="87"/>
      <c r="O26" s="87"/>
    </row>
    <row r="27" spans="1:15" x14ac:dyDescent="0.3">
      <c r="C27" s="82">
        <v>15</v>
      </c>
      <c r="D27" s="82">
        <v>16</v>
      </c>
      <c r="E27" s="83">
        <v>10</v>
      </c>
      <c r="F27" s="84">
        <f t="shared" ref="F27:F34" si="0">E27/$E$35</f>
        <v>0.1</v>
      </c>
      <c r="G27" s="84">
        <f>G26+F27</f>
        <v>0.18</v>
      </c>
      <c r="K27" s="87"/>
      <c r="L27" s="87"/>
      <c r="M27" s="87"/>
      <c r="N27" s="87"/>
      <c r="O27" s="87"/>
    </row>
    <row r="28" spans="1:15" x14ac:dyDescent="0.3">
      <c r="C28" s="82">
        <v>16</v>
      </c>
      <c r="D28" s="82">
        <v>17</v>
      </c>
      <c r="E28" s="83">
        <v>9</v>
      </c>
      <c r="F28" s="84">
        <f t="shared" si="0"/>
        <v>0.09</v>
      </c>
      <c r="G28" s="84">
        <f t="shared" ref="G28:G34" si="1">G27+F28</f>
        <v>0.27</v>
      </c>
      <c r="K28" s="87"/>
      <c r="L28" s="87"/>
      <c r="M28" s="87"/>
      <c r="N28" s="87"/>
      <c r="O28" s="87"/>
    </row>
    <row r="29" spans="1:15" x14ac:dyDescent="0.3">
      <c r="C29" s="82">
        <v>17</v>
      </c>
      <c r="D29" s="82">
        <v>18</v>
      </c>
      <c r="E29" s="83">
        <v>15</v>
      </c>
      <c r="F29" s="84">
        <f t="shared" si="0"/>
        <v>0.15</v>
      </c>
      <c r="G29" s="84">
        <f t="shared" si="1"/>
        <v>0.42000000000000004</v>
      </c>
      <c r="K29" s="87"/>
      <c r="L29" s="87"/>
      <c r="M29" s="87"/>
      <c r="N29" s="87"/>
      <c r="O29" s="87"/>
    </row>
    <row r="30" spans="1:15" x14ac:dyDescent="0.3">
      <c r="C30" s="82">
        <v>18</v>
      </c>
      <c r="D30" s="82">
        <v>19</v>
      </c>
      <c r="E30" s="83">
        <v>16</v>
      </c>
      <c r="F30" s="84">
        <f t="shared" si="0"/>
        <v>0.16</v>
      </c>
      <c r="G30" s="84">
        <f t="shared" si="1"/>
        <v>0.58000000000000007</v>
      </c>
      <c r="K30" s="87"/>
      <c r="L30" s="87"/>
      <c r="M30" s="87"/>
      <c r="N30" s="87"/>
      <c r="O30" s="87"/>
    </row>
    <row r="31" spans="1:15" x14ac:dyDescent="0.3">
      <c r="C31" s="82">
        <v>19</v>
      </c>
      <c r="D31" s="82">
        <v>20</v>
      </c>
      <c r="E31" s="83">
        <v>12</v>
      </c>
      <c r="F31" s="84">
        <f t="shared" si="0"/>
        <v>0.12</v>
      </c>
      <c r="G31" s="84">
        <f t="shared" si="1"/>
        <v>0.70000000000000007</v>
      </c>
      <c r="K31" s="87"/>
      <c r="L31" s="87"/>
      <c r="M31" s="87"/>
      <c r="N31" s="87"/>
      <c r="O31" s="87"/>
    </row>
    <row r="32" spans="1:15" x14ac:dyDescent="0.3">
      <c r="C32" s="82">
        <v>20</v>
      </c>
      <c r="D32" s="82">
        <v>21</v>
      </c>
      <c r="E32" s="83">
        <v>12</v>
      </c>
      <c r="F32" s="84">
        <f t="shared" si="0"/>
        <v>0.12</v>
      </c>
      <c r="G32" s="84">
        <f t="shared" si="1"/>
        <v>0.82000000000000006</v>
      </c>
      <c r="K32" s="87"/>
      <c r="L32" s="87"/>
      <c r="M32" s="87"/>
      <c r="N32" s="87"/>
      <c r="O32" s="87"/>
    </row>
    <row r="33" spans="1:15" x14ac:dyDescent="0.3">
      <c r="C33" s="82">
        <v>21</v>
      </c>
      <c r="D33" s="82">
        <v>22</v>
      </c>
      <c r="E33" s="83">
        <v>11</v>
      </c>
      <c r="F33" s="84">
        <f t="shared" si="0"/>
        <v>0.11</v>
      </c>
      <c r="G33" s="84">
        <f t="shared" si="1"/>
        <v>0.93</v>
      </c>
      <c r="K33" s="87"/>
      <c r="L33" s="87"/>
      <c r="M33" s="87"/>
      <c r="N33" s="87"/>
      <c r="O33" s="87"/>
    </row>
    <row r="34" spans="1:15" x14ac:dyDescent="0.3">
      <c r="C34" s="82">
        <v>22</v>
      </c>
      <c r="D34" s="82">
        <v>23</v>
      </c>
      <c r="E34" s="83">
        <v>7</v>
      </c>
      <c r="F34" s="84">
        <f t="shared" si="0"/>
        <v>7.0000000000000007E-2</v>
      </c>
      <c r="G34" s="84">
        <f t="shared" si="1"/>
        <v>1</v>
      </c>
      <c r="K34" s="87"/>
      <c r="L34" s="87"/>
      <c r="M34" s="87"/>
      <c r="N34" s="87"/>
      <c r="O34" s="87"/>
    </row>
    <row r="35" spans="1:15" x14ac:dyDescent="0.3">
      <c r="C35" s="229" t="s">
        <v>108</v>
      </c>
      <c r="D35" s="230"/>
      <c r="E35" s="85">
        <f>SUM(E26:E34)</f>
        <v>100</v>
      </c>
      <c r="F35" s="85">
        <f>SUM(F26:F34)</f>
        <v>1</v>
      </c>
      <c r="G35" s="86"/>
    </row>
    <row r="37" spans="1:15" x14ac:dyDescent="0.3">
      <c r="A37" s="68" t="s">
        <v>109</v>
      </c>
    </row>
    <row r="38" spans="1:15" x14ac:dyDescent="0.3">
      <c r="A38" s="57" t="s">
        <v>110</v>
      </c>
    </row>
    <row r="41" spans="1:15" x14ac:dyDescent="0.3">
      <c r="A41" s="57" t="s">
        <v>141</v>
      </c>
    </row>
    <row r="42" spans="1:15" ht="21" x14ac:dyDescent="0.4">
      <c r="A42" s="57" t="s">
        <v>128</v>
      </c>
      <c r="M42" s="69" t="s">
        <v>126</v>
      </c>
      <c r="N42" s="69">
        <f>_xlfn.MODE.MULT(A3:J12)</f>
        <v>19.100000000000001</v>
      </c>
    </row>
    <row r="43" spans="1:15" ht="19.5" x14ac:dyDescent="0.35">
      <c r="A43" s="57" t="s">
        <v>129</v>
      </c>
      <c r="M43" s="69" t="s">
        <v>127</v>
      </c>
      <c r="N43" s="69">
        <f>MEDIAN(A3:J12)</f>
        <v>18.45</v>
      </c>
    </row>
    <row r="44" spans="1:15" ht="21" x14ac:dyDescent="0.4">
      <c r="A44" s="57" t="s">
        <v>130</v>
      </c>
    </row>
    <row r="45" spans="1:15" ht="21" x14ac:dyDescent="0.4">
      <c r="A45" s="57" t="s">
        <v>131</v>
      </c>
    </row>
    <row r="46" spans="1:15" ht="21" x14ac:dyDescent="0.4">
      <c r="A46" s="57" t="s">
        <v>132</v>
      </c>
    </row>
    <row r="48" spans="1:15" ht="22.5" x14ac:dyDescent="0.3">
      <c r="A48" s="76" t="s">
        <v>111</v>
      </c>
      <c r="F48" s="88">
        <v>18.2</v>
      </c>
      <c r="G48" s="69" t="s">
        <v>133</v>
      </c>
    </row>
    <row r="51" spans="1:9" ht="22.5" x14ac:dyDescent="0.3">
      <c r="A51" s="76" t="s">
        <v>112</v>
      </c>
      <c r="E51" s="89" t="s">
        <v>139</v>
      </c>
      <c r="H51" s="90">
        <v>18.5</v>
      </c>
      <c r="I51" s="69" t="s">
        <v>133</v>
      </c>
    </row>
    <row r="53" spans="1:9" ht="19.5" x14ac:dyDescent="0.35">
      <c r="A53" s="69" t="s">
        <v>134</v>
      </c>
    </row>
    <row r="54" spans="1:9" ht="21" x14ac:dyDescent="0.4">
      <c r="A54" s="69" t="s">
        <v>135</v>
      </c>
    </row>
    <row r="55" spans="1:9" ht="19.5" x14ac:dyDescent="0.35">
      <c r="A55" s="69" t="s">
        <v>136</v>
      </c>
    </row>
    <row r="56" spans="1:9" ht="21" x14ac:dyDescent="0.4">
      <c r="A56" s="69" t="s">
        <v>137</v>
      </c>
    </row>
    <row r="57" spans="1:9" ht="24" x14ac:dyDescent="0.4">
      <c r="A57" s="69" t="s">
        <v>138</v>
      </c>
    </row>
    <row r="59" spans="1:9" x14ac:dyDescent="0.3">
      <c r="A59" s="57" t="s">
        <v>113</v>
      </c>
    </row>
    <row r="60" spans="1:9" s="57" customFormat="1" ht="17.25" customHeight="1" x14ac:dyDescent="0.3">
      <c r="A60" s="57" t="s">
        <v>114</v>
      </c>
    </row>
    <row r="62" spans="1:9" ht="22.5" customHeight="1" x14ac:dyDescent="0.3">
      <c r="A62" s="91"/>
      <c r="B62" s="91"/>
      <c r="C62" s="91"/>
      <c r="D62" s="231"/>
      <c r="E62" s="231"/>
      <c r="F62" s="231"/>
      <c r="G62" s="231"/>
      <c r="H62" s="231"/>
      <c r="I62" s="231"/>
    </row>
    <row r="63" spans="1:9" x14ac:dyDescent="0.3">
      <c r="A63" s="92">
        <v>14.5</v>
      </c>
      <c r="B63" s="93">
        <v>8</v>
      </c>
      <c r="C63" s="94">
        <f>A63*B63</f>
        <v>116</v>
      </c>
      <c r="D63" s="232">
        <f>(A63-$C$74)^2*B63</f>
        <v>129.28319999999997</v>
      </c>
      <c r="E63" s="232"/>
      <c r="F63" s="232">
        <f>(A63-$C$74)^3*B63</f>
        <v>-519.71846399999981</v>
      </c>
      <c r="G63" s="232"/>
      <c r="H63" s="232">
        <f>(A63-$C$74)^4*B63</f>
        <v>2089.2682252799987</v>
      </c>
      <c r="I63" s="232"/>
    </row>
    <row r="64" spans="1:9" x14ac:dyDescent="0.3">
      <c r="A64" s="94">
        <v>15.5</v>
      </c>
      <c r="B64" s="93">
        <v>10</v>
      </c>
      <c r="C64" s="94">
        <f t="shared" ref="C64:C71" si="2">A64*B64</f>
        <v>155</v>
      </c>
      <c r="D64" s="232">
        <f t="shared" ref="D64:D71" si="3">(A64-$C$74)^2*B64</f>
        <v>91.203999999999979</v>
      </c>
      <c r="E64" s="232"/>
      <c r="F64" s="232">
        <f t="shared" ref="F64:F71" si="4">(A64-$C$74)^3*B64</f>
        <v>-275.43607999999995</v>
      </c>
      <c r="G64" s="232"/>
      <c r="H64" s="232">
        <f t="shared" ref="H64:H71" si="5">(A64-$C$74)^4*B64</f>
        <v>831.81696159999979</v>
      </c>
      <c r="I64" s="232"/>
    </row>
    <row r="65" spans="1:11" x14ac:dyDescent="0.3">
      <c r="A65" s="92">
        <v>16.5</v>
      </c>
      <c r="B65" s="93">
        <v>9</v>
      </c>
      <c r="C65" s="94">
        <f t="shared" si="2"/>
        <v>148.5</v>
      </c>
      <c r="D65" s="232">
        <f t="shared" si="3"/>
        <v>36.723599999999983</v>
      </c>
      <c r="E65" s="232"/>
      <c r="F65" s="232">
        <f t="shared" si="4"/>
        <v>-74.181671999999949</v>
      </c>
      <c r="G65" s="232"/>
      <c r="H65" s="232">
        <f t="shared" si="5"/>
        <v>149.84697743999988</v>
      </c>
      <c r="I65" s="232"/>
    </row>
    <row r="66" spans="1:11" x14ac:dyDescent="0.3">
      <c r="A66" s="94">
        <v>17.5</v>
      </c>
      <c r="B66" s="93">
        <v>15</v>
      </c>
      <c r="C66" s="94">
        <f t="shared" si="2"/>
        <v>262.5</v>
      </c>
      <c r="D66" s="232">
        <f t="shared" si="3"/>
        <v>15.605999999999987</v>
      </c>
      <c r="E66" s="232"/>
      <c r="F66" s="232">
        <f t="shared" si="4"/>
        <v>-15.918119999999979</v>
      </c>
      <c r="G66" s="232"/>
      <c r="H66" s="232">
        <f t="shared" si="5"/>
        <v>16.236482399999971</v>
      </c>
      <c r="I66" s="232"/>
    </row>
    <row r="67" spans="1:11" x14ac:dyDescent="0.3">
      <c r="A67" s="92">
        <v>18.5</v>
      </c>
      <c r="B67" s="93">
        <v>16</v>
      </c>
      <c r="C67" s="94">
        <f t="shared" si="2"/>
        <v>296</v>
      </c>
      <c r="D67" s="232">
        <f t="shared" si="3"/>
        <v>6.3999999999997271E-3</v>
      </c>
      <c r="E67" s="232"/>
      <c r="F67" s="232">
        <f t="shared" si="4"/>
        <v>-1.2799999999999181E-4</v>
      </c>
      <c r="G67" s="232"/>
      <c r="H67" s="232">
        <f t="shared" si="5"/>
        <v>2.5599999999997815E-6</v>
      </c>
      <c r="I67" s="232"/>
    </row>
    <row r="68" spans="1:11" x14ac:dyDescent="0.3">
      <c r="A68" s="94">
        <v>19.5</v>
      </c>
      <c r="B68" s="93">
        <v>12</v>
      </c>
      <c r="C68" s="94">
        <f t="shared" si="2"/>
        <v>234</v>
      </c>
      <c r="D68" s="232">
        <f t="shared" si="3"/>
        <v>11.52480000000001</v>
      </c>
      <c r="E68" s="232"/>
      <c r="F68" s="232">
        <f t="shared" si="4"/>
        <v>11.294304000000015</v>
      </c>
      <c r="G68" s="232"/>
      <c r="H68" s="232">
        <f t="shared" si="5"/>
        <v>11.068417920000019</v>
      </c>
      <c r="I68" s="232"/>
    </row>
    <row r="69" spans="1:11" x14ac:dyDescent="0.3">
      <c r="A69" s="92">
        <v>20.5</v>
      </c>
      <c r="B69" s="93">
        <v>12</v>
      </c>
      <c r="C69" s="94">
        <f t="shared" si="2"/>
        <v>246</v>
      </c>
      <c r="D69" s="232">
        <f t="shared" si="3"/>
        <v>47.044800000000023</v>
      </c>
      <c r="E69" s="232"/>
      <c r="F69" s="232">
        <f t="shared" si="4"/>
        <v>93.148704000000052</v>
      </c>
      <c r="G69" s="232"/>
      <c r="H69" s="232">
        <f t="shared" si="5"/>
        <v>184.43443392000017</v>
      </c>
      <c r="I69" s="232"/>
    </row>
    <row r="70" spans="1:11" x14ac:dyDescent="0.3">
      <c r="A70" s="94">
        <v>21.5</v>
      </c>
      <c r="B70" s="93">
        <v>11</v>
      </c>
      <c r="C70" s="94">
        <f t="shared" si="2"/>
        <v>236.5</v>
      </c>
      <c r="D70" s="232">
        <f t="shared" si="3"/>
        <v>97.684400000000039</v>
      </c>
      <c r="E70" s="232"/>
      <c r="F70" s="232">
        <f t="shared" si="4"/>
        <v>291.09951200000012</v>
      </c>
      <c r="G70" s="232"/>
      <c r="H70" s="232">
        <f t="shared" si="5"/>
        <v>867.4765457600007</v>
      </c>
      <c r="I70" s="232"/>
    </row>
    <row r="71" spans="1:11" x14ac:dyDescent="0.3">
      <c r="A71" s="92">
        <v>22.5</v>
      </c>
      <c r="B71" s="93">
        <v>7</v>
      </c>
      <c r="C71" s="94">
        <f t="shared" si="2"/>
        <v>157.5</v>
      </c>
      <c r="D71" s="232">
        <f t="shared" si="3"/>
        <v>110.88280000000003</v>
      </c>
      <c r="E71" s="232"/>
      <c r="F71" s="232">
        <f t="shared" si="4"/>
        <v>441.31354400000015</v>
      </c>
      <c r="G71" s="232"/>
      <c r="H71" s="232">
        <f t="shared" si="5"/>
        <v>1756.427905120001</v>
      </c>
      <c r="I71" s="232"/>
    </row>
    <row r="72" spans="1:11" x14ac:dyDescent="0.3">
      <c r="A72" s="95" t="s">
        <v>108</v>
      </c>
      <c r="B72" s="96">
        <f>SUM(B63:B71)</f>
        <v>100</v>
      </c>
      <c r="C72" s="96">
        <f>SUM(C63:C71)</f>
        <v>1852</v>
      </c>
      <c r="D72" s="233">
        <f>SUM(D63:D71)</f>
        <v>539.96</v>
      </c>
      <c r="E72" s="234"/>
      <c r="F72" s="233">
        <f>SUM(F63:F71)</f>
        <v>-48.398399999999299</v>
      </c>
      <c r="G72" s="234"/>
      <c r="H72" s="233">
        <f>SUM(H63:H71)</f>
        <v>5906.5759520000011</v>
      </c>
      <c r="I72" s="234"/>
    </row>
    <row r="74" spans="1:11" ht="22.5" x14ac:dyDescent="0.3">
      <c r="C74" s="97">
        <f>C72/B72</f>
        <v>18.52</v>
      </c>
      <c r="G74" s="98"/>
      <c r="I74" s="17"/>
    </row>
    <row r="76" spans="1:11" ht="22.5" x14ac:dyDescent="0.3">
      <c r="D76" s="58">
        <f>D72/B72</f>
        <v>5.3996000000000004</v>
      </c>
      <c r="G76" s="77"/>
      <c r="J76" s="77"/>
    </row>
    <row r="77" spans="1:11" ht="25.5" x14ac:dyDescent="0.35">
      <c r="D77" s="58"/>
      <c r="G77" s="77"/>
      <c r="J77" s="99">
        <f>D78/C74*100</f>
        <v>12.546997515302314</v>
      </c>
      <c r="K77" s="100" t="s">
        <v>140</v>
      </c>
    </row>
    <row r="78" spans="1:11" ht="22.5" x14ac:dyDescent="0.3">
      <c r="D78" s="58">
        <f>D76^0.5</f>
        <v>2.3237039398339885</v>
      </c>
      <c r="G78" s="77"/>
      <c r="J78" s="77"/>
    </row>
    <row r="79" spans="1:11" ht="22.5" x14ac:dyDescent="0.3">
      <c r="D79" s="58"/>
      <c r="G79" s="77"/>
      <c r="J79" s="77"/>
    </row>
    <row r="80" spans="1:11" x14ac:dyDescent="0.3">
      <c r="J80" s="77"/>
    </row>
    <row r="81" spans="1:13" s="57" customFormat="1" x14ac:dyDescent="0.3">
      <c r="A81" s="57" t="s">
        <v>115</v>
      </c>
    </row>
    <row r="82" spans="1:13" x14ac:dyDescent="0.3">
      <c r="F82" s="77"/>
      <c r="G82" s="77"/>
      <c r="H82" s="77"/>
    </row>
    <row r="83" spans="1:13" ht="22.5" x14ac:dyDescent="0.3">
      <c r="D83" s="101">
        <f>F72/B72</f>
        <v>-0.48398399999999298</v>
      </c>
      <c r="H83" s="101">
        <f>H72/B72</f>
        <v>59.065759520000007</v>
      </c>
    </row>
    <row r="84" spans="1:13" x14ac:dyDescent="0.3">
      <c r="C84" s="17"/>
    </row>
    <row r="86" spans="1:13" ht="22.5" x14ac:dyDescent="0.3">
      <c r="D86" s="101">
        <f>D83/(D78^3)</f>
        <v>-3.8573462235998016E-2</v>
      </c>
      <c r="H86" s="101">
        <f>H83/(D78^4)-3</f>
        <v>-0.97412513802250444</v>
      </c>
    </row>
    <row r="90" spans="1:13" s="57" customFormat="1" x14ac:dyDescent="0.3">
      <c r="A90" s="57" t="s">
        <v>116</v>
      </c>
      <c r="L90" s="17"/>
    </row>
    <row r="91" spans="1:13" x14ac:dyDescent="0.3">
      <c r="M91" s="17"/>
    </row>
    <row r="92" spans="1:13" s="57" customFormat="1" x14ac:dyDescent="0.3">
      <c r="A92" s="57" t="s">
        <v>117</v>
      </c>
      <c r="I92" s="57" t="s">
        <v>118</v>
      </c>
      <c r="M92" s="17"/>
    </row>
    <row r="94" spans="1:13" x14ac:dyDescent="0.3">
      <c r="A94" s="73" t="s">
        <v>119</v>
      </c>
    </row>
    <row r="96" spans="1:13" ht="22.5" customHeight="1" x14ac:dyDescent="0.3">
      <c r="A96" s="77"/>
      <c r="B96" s="17"/>
      <c r="C96" s="78"/>
      <c r="D96" s="78"/>
    </row>
    <row r="97" spans="1:13" x14ac:dyDescent="0.3">
      <c r="A97" s="79"/>
      <c r="B97" s="80"/>
      <c r="C97" s="80"/>
      <c r="D97" s="80"/>
    </row>
    <row r="98" spans="1:13" x14ac:dyDescent="0.3">
      <c r="A98" s="79"/>
      <c r="B98" s="80"/>
      <c r="C98" s="80"/>
      <c r="D98" s="80"/>
    </row>
    <row r="99" spans="1:13" x14ac:dyDescent="0.3">
      <c r="A99" s="79"/>
      <c r="B99" s="80"/>
      <c r="C99" s="80"/>
      <c r="D99" s="80"/>
    </row>
    <row r="100" spans="1:13" x14ac:dyDescent="0.3">
      <c r="A100" s="79"/>
      <c r="B100" s="80"/>
      <c r="C100" s="80"/>
      <c r="D100" s="80"/>
      <c r="H100" s="17"/>
    </row>
    <row r="101" spans="1:13" x14ac:dyDescent="0.3">
      <c r="A101" s="79"/>
      <c r="B101" s="80"/>
      <c r="C101" s="80"/>
      <c r="D101" s="80"/>
    </row>
    <row r="102" spans="1:13" x14ac:dyDescent="0.3">
      <c r="A102" s="79"/>
      <c r="B102" s="80"/>
      <c r="C102" s="80"/>
      <c r="D102" s="80"/>
    </row>
    <row r="103" spans="1:13" x14ac:dyDescent="0.3">
      <c r="A103" s="79"/>
      <c r="B103" s="80"/>
      <c r="C103" s="80"/>
      <c r="D103" s="80"/>
    </row>
    <row r="104" spans="1:13" x14ac:dyDescent="0.3">
      <c r="A104" s="79"/>
      <c r="B104" s="80"/>
      <c r="C104" s="80"/>
      <c r="D104" s="80"/>
    </row>
    <row r="105" spans="1:13" x14ac:dyDescent="0.3">
      <c r="A105" s="79"/>
      <c r="B105" s="80"/>
      <c r="C105" s="80"/>
      <c r="D105" s="80"/>
    </row>
    <row r="107" spans="1:13" s="73" customFormat="1" x14ac:dyDescent="0.3">
      <c r="A107" s="73" t="s">
        <v>120</v>
      </c>
    </row>
    <row r="109" spans="1:13" s="57" customFormat="1" x14ac:dyDescent="0.3">
      <c r="A109" s="57" t="s">
        <v>121</v>
      </c>
    </row>
    <row r="110" spans="1:13" x14ac:dyDescent="0.3">
      <c r="B110" s="78"/>
      <c r="C110" s="78"/>
      <c r="D110" s="78"/>
      <c r="E110" s="78"/>
    </row>
    <row r="111" spans="1:13" x14ac:dyDescent="0.3">
      <c r="A111" s="69" t="s">
        <v>125</v>
      </c>
      <c r="M111" s="17"/>
    </row>
    <row r="113" spans="1:15" x14ac:dyDescent="0.3">
      <c r="C113" s="75"/>
    </row>
    <row r="115" spans="1:15" x14ac:dyDescent="0.3">
      <c r="A115" s="69" t="s">
        <v>122</v>
      </c>
    </row>
    <row r="116" spans="1:15" x14ac:dyDescent="0.3">
      <c r="H116" s="17"/>
    </row>
    <row r="117" spans="1:15" x14ac:dyDescent="0.3">
      <c r="A117" s="69" t="s">
        <v>123</v>
      </c>
    </row>
    <row r="118" spans="1:15" x14ac:dyDescent="0.3">
      <c r="K118" s="77"/>
      <c r="L118" s="77"/>
      <c r="M118" s="77"/>
      <c r="N118" s="77"/>
      <c r="O118" s="77"/>
    </row>
    <row r="119" spans="1:15" ht="39" customHeight="1" x14ac:dyDescent="0.3">
      <c r="C119" s="235"/>
      <c r="D119" s="236"/>
      <c r="K119" s="77"/>
      <c r="L119" s="17"/>
      <c r="M119" s="77"/>
      <c r="N119" s="77"/>
      <c r="O119" s="77"/>
    </row>
    <row r="120" spans="1:15" x14ac:dyDescent="0.3">
      <c r="A120" s="79"/>
      <c r="B120" s="79"/>
      <c r="C120" s="237"/>
      <c r="D120" s="238"/>
      <c r="K120" s="77"/>
      <c r="L120" s="77"/>
      <c r="M120" s="77"/>
      <c r="N120" s="77"/>
      <c r="O120" s="77"/>
    </row>
    <row r="121" spans="1:15" x14ac:dyDescent="0.3">
      <c r="A121" s="79"/>
      <c r="B121" s="79"/>
      <c r="C121" s="237"/>
      <c r="D121" s="238"/>
      <c r="K121" s="77"/>
      <c r="L121" s="81"/>
      <c r="M121" s="81"/>
      <c r="N121" s="81"/>
      <c r="O121" s="77"/>
    </row>
    <row r="122" spans="1:15" ht="15" hidden="1" customHeight="1" x14ac:dyDescent="0.3">
      <c r="A122" s="79"/>
      <c r="B122" s="79"/>
      <c r="C122" s="237"/>
      <c r="D122" s="238"/>
      <c r="K122" s="77"/>
      <c r="L122" s="81"/>
      <c r="M122" s="81"/>
      <c r="N122" s="81"/>
      <c r="O122" s="77"/>
    </row>
    <row r="123" spans="1:15" ht="15" hidden="1" customHeight="1" x14ac:dyDescent="0.3">
      <c r="A123" s="79"/>
      <c r="B123" s="79"/>
      <c r="C123" s="237"/>
      <c r="D123" s="238"/>
      <c r="K123" s="77"/>
      <c r="L123" s="81"/>
      <c r="M123" s="81"/>
      <c r="N123" s="81"/>
      <c r="O123" s="77"/>
    </row>
    <row r="124" spans="1:15" x14ac:dyDescent="0.3">
      <c r="A124" s="79"/>
      <c r="B124" s="79"/>
      <c r="C124" s="237"/>
      <c r="D124" s="238"/>
      <c r="K124" s="77"/>
      <c r="L124" s="81"/>
      <c r="M124" s="81"/>
      <c r="N124" s="81"/>
      <c r="O124" s="77"/>
    </row>
    <row r="125" spans="1:15" x14ac:dyDescent="0.3">
      <c r="A125" s="79"/>
      <c r="B125" s="79"/>
      <c r="C125" s="237"/>
      <c r="D125" s="238"/>
      <c r="K125" s="77"/>
      <c r="L125" s="81"/>
      <c r="M125" s="81"/>
      <c r="N125" s="81"/>
      <c r="O125" s="77"/>
    </row>
    <row r="126" spans="1:15" x14ac:dyDescent="0.3">
      <c r="A126" s="79"/>
      <c r="B126" s="79"/>
      <c r="C126" s="237"/>
      <c r="D126" s="238"/>
      <c r="K126" s="77"/>
      <c r="L126" s="81"/>
      <c r="M126" s="81"/>
      <c r="N126" s="81"/>
      <c r="O126" s="77"/>
    </row>
    <row r="127" spans="1:15" x14ac:dyDescent="0.3">
      <c r="A127" s="79"/>
      <c r="B127" s="79"/>
      <c r="C127" s="237"/>
      <c r="D127" s="238"/>
      <c r="K127" s="77"/>
      <c r="L127" s="81"/>
      <c r="M127" s="81"/>
      <c r="N127" s="81"/>
      <c r="O127" s="77"/>
    </row>
    <row r="128" spans="1:15" x14ac:dyDescent="0.3">
      <c r="A128" s="79"/>
      <c r="B128" s="79"/>
      <c r="C128" s="237"/>
      <c r="D128" s="238"/>
      <c r="K128" s="77"/>
      <c r="L128" s="77"/>
      <c r="M128" s="77"/>
      <c r="N128" s="77"/>
      <c r="O128" s="77"/>
    </row>
    <row r="129" spans="1:15" x14ac:dyDescent="0.3">
      <c r="A129" s="79"/>
      <c r="B129" s="79"/>
      <c r="C129" s="237"/>
      <c r="D129" s="238"/>
      <c r="K129" s="77"/>
      <c r="L129" s="77"/>
      <c r="M129" s="77"/>
      <c r="N129" s="77"/>
      <c r="O129" s="77"/>
    </row>
    <row r="130" spans="1:15" x14ac:dyDescent="0.3">
      <c r="A130" s="79"/>
      <c r="B130" s="79"/>
      <c r="C130" s="237"/>
      <c r="D130" s="238"/>
      <c r="K130" s="77"/>
      <c r="L130" s="77"/>
      <c r="M130" s="77"/>
      <c r="N130" s="77"/>
      <c r="O130" s="77"/>
    </row>
    <row r="131" spans="1:15" x14ac:dyDescent="0.3">
      <c r="A131" s="79"/>
      <c r="B131" s="79"/>
      <c r="C131" s="237"/>
      <c r="D131" s="238"/>
      <c r="K131" s="77"/>
      <c r="L131" s="77"/>
      <c r="M131" s="77"/>
      <c r="N131" s="77"/>
      <c r="O131" s="77"/>
    </row>
    <row r="132" spans="1:15" x14ac:dyDescent="0.3">
      <c r="C132" s="239"/>
      <c r="D132" s="240"/>
      <c r="K132" s="77"/>
      <c r="L132" s="77"/>
      <c r="M132" s="77"/>
      <c r="N132" s="77"/>
      <c r="O132" s="77"/>
    </row>
    <row r="133" spans="1:15" x14ac:dyDescent="0.3">
      <c r="K133" s="77"/>
      <c r="L133" s="77"/>
      <c r="M133" s="77"/>
      <c r="N133" s="77"/>
      <c r="O133" s="77"/>
    </row>
    <row r="134" spans="1:15" s="57" customFormat="1" x14ac:dyDescent="0.3">
      <c r="A134" s="57" t="s">
        <v>124</v>
      </c>
    </row>
    <row r="135" spans="1:15" x14ac:dyDescent="0.3">
      <c r="H135" s="17"/>
    </row>
  </sheetData>
  <sortState ref="K26:K34">
    <sortCondition ref="K26"/>
  </sortState>
  <mergeCells count="49">
    <mergeCell ref="C130:D130"/>
    <mergeCell ref="C131:D131"/>
    <mergeCell ref="C132:D132"/>
    <mergeCell ref="C124:D124"/>
    <mergeCell ref="C125:D125"/>
    <mergeCell ref="C126:D126"/>
    <mergeCell ref="C127:D127"/>
    <mergeCell ref="C128:D128"/>
    <mergeCell ref="C129:D129"/>
    <mergeCell ref="C119:D119"/>
    <mergeCell ref="C120:D120"/>
    <mergeCell ref="C121:D121"/>
    <mergeCell ref="C122:D122"/>
    <mergeCell ref="C123:D123"/>
    <mergeCell ref="D71:E71"/>
    <mergeCell ref="F71:G71"/>
    <mergeCell ref="H71:I71"/>
    <mergeCell ref="D72:E72"/>
    <mergeCell ref="F72:G72"/>
    <mergeCell ref="H72:I72"/>
    <mergeCell ref="D69:E69"/>
    <mergeCell ref="F69:G69"/>
    <mergeCell ref="H69:I69"/>
    <mergeCell ref="D70:E70"/>
    <mergeCell ref="F70:G70"/>
    <mergeCell ref="H70:I70"/>
    <mergeCell ref="D67:E67"/>
    <mergeCell ref="F67:G67"/>
    <mergeCell ref="H67:I67"/>
    <mergeCell ref="D68:E68"/>
    <mergeCell ref="F68:G68"/>
    <mergeCell ref="H68:I68"/>
    <mergeCell ref="D65:E65"/>
    <mergeCell ref="F65:G65"/>
    <mergeCell ref="H65:I65"/>
    <mergeCell ref="D66:E66"/>
    <mergeCell ref="F66:G66"/>
    <mergeCell ref="H66:I66"/>
    <mergeCell ref="D63:E63"/>
    <mergeCell ref="F63:G63"/>
    <mergeCell ref="H63:I63"/>
    <mergeCell ref="D64:E64"/>
    <mergeCell ref="F64:G64"/>
    <mergeCell ref="H64:I64"/>
    <mergeCell ref="C25:D25"/>
    <mergeCell ref="C35:D35"/>
    <mergeCell ref="D62:E62"/>
    <mergeCell ref="F62:G62"/>
    <mergeCell ref="H62:I6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15363" r:id="rId3">
          <objectPr defaultSize="0" autoPict="0" r:id="rId4">
            <anchor moveWithCells="1" sizeWithCells="1">
              <from>
                <xdr:col>3</xdr:col>
                <xdr:colOff>200025</xdr:colOff>
                <xdr:row>15</xdr:row>
                <xdr:rowOff>9525</xdr:rowOff>
              </from>
              <to>
                <xdr:col>3</xdr:col>
                <xdr:colOff>590550</xdr:colOff>
                <xdr:row>16</xdr:row>
                <xdr:rowOff>0</xdr:rowOff>
              </to>
            </anchor>
          </objectPr>
        </oleObject>
      </mc:Choice>
      <mc:Fallback>
        <oleObject progId="Equation.3" shapeId="15363" r:id="rId3"/>
      </mc:Fallback>
    </mc:AlternateContent>
    <mc:AlternateContent xmlns:mc="http://schemas.openxmlformats.org/markup-compatibility/2006">
      <mc:Choice Requires="x14">
        <oleObject progId="Equation.3" shapeId="15364" r:id="rId5">
          <objectPr defaultSize="0" autoPict="0" r:id="rId6">
            <anchor moveWithCells="1" sizeWithCells="1">
              <from>
                <xdr:col>3</xdr:col>
                <xdr:colOff>161925</xdr:colOff>
                <xdr:row>16</xdr:row>
                <xdr:rowOff>9525</xdr:rowOff>
              </from>
              <to>
                <xdr:col>3</xdr:col>
                <xdr:colOff>581025</xdr:colOff>
                <xdr:row>17</xdr:row>
                <xdr:rowOff>9525</xdr:rowOff>
              </to>
            </anchor>
          </objectPr>
        </oleObject>
      </mc:Choice>
      <mc:Fallback>
        <oleObject progId="Equation.3" shapeId="15364" r:id="rId5"/>
      </mc:Fallback>
    </mc:AlternateContent>
    <mc:AlternateContent xmlns:mc="http://schemas.openxmlformats.org/markup-compatibility/2006">
      <mc:Choice Requires="x14">
        <oleObject progId="Equation.3" shapeId="15365" r:id="rId7">
          <objectPr defaultSize="0" autoPict="0" r:id="rId8">
            <anchor moveWithCells="1" sizeWithCells="1">
              <from>
                <xdr:col>2</xdr:col>
                <xdr:colOff>171450</xdr:colOff>
                <xdr:row>17</xdr:row>
                <xdr:rowOff>28575</xdr:rowOff>
              </from>
              <to>
                <xdr:col>3</xdr:col>
                <xdr:colOff>600075</xdr:colOff>
                <xdr:row>18</xdr:row>
                <xdr:rowOff>28575</xdr:rowOff>
              </to>
            </anchor>
          </objectPr>
        </oleObject>
      </mc:Choice>
      <mc:Fallback>
        <oleObject progId="Equation.3" shapeId="15365" r:id="rId7"/>
      </mc:Fallback>
    </mc:AlternateContent>
    <mc:AlternateContent xmlns:mc="http://schemas.openxmlformats.org/markup-compatibility/2006">
      <mc:Choice Requires="x14">
        <oleObject progId="Equation.3" shapeId="15366" r:id="rId9">
          <objectPr defaultSize="0" autoPict="0" r:id="rId10">
            <anchor moveWithCells="1" sizeWithCells="1">
              <from>
                <xdr:col>4</xdr:col>
                <xdr:colOff>361950</xdr:colOff>
                <xdr:row>18</xdr:row>
                <xdr:rowOff>47625</xdr:rowOff>
              </from>
              <to>
                <xdr:col>5</xdr:col>
                <xdr:colOff>9525</xdr:colOff>
                <xdr:row>19</xdr:row>
                <xdr:rowOff>0</xdr:rowOff>
              </to>
            </anchor>
          </objectPr>
        </oleObject>
      </mc:Choice>
      <mc:Fallback>
        <oleObject progId="Equation.3" shapeId="15366" r:id="rId9"/>
      </mc:Fallback>
    </mc:AlternateContent>
    <mc:AlternateContent xmlns:mc="http://schemas.openxmlformats.org/markup-compatibility/2006">
      <mc:Choice Requires="x14">
        <oleObject progId="Equation.3" shapeId="15367" r:id="rId11">
          <objectPr defaultSize="0" autoPict="0" r:id="rId12">
            <anchor moveWithCells="1" sizeWithCells="1">
              <from>
                <xdr:col>3</xdr:col>
                <xdr:colOff>66675</xdr:colOff>
                <xdr:row>19</xdr:row>
                <xdr:rowOff>57150</xdr:rowOff>
              </from>
              <to>
                <xdr:col>4</xdr:col>
                <xdr:colOff>495300</xdr:colOff>
                <xdr:row>19</xdr:row>
                <xdr:rowOff>447675</xdr:rowOff>
              </to>
            </anchor>
          </objectPr>
        </oleObject>
      </mc:Choice>
      <mc:Fallback>
        <oleObject progId="Equation.3" shapeId="15367" r:id="rId11"/>
      </mc:Fallback>
    </mc:AlternateContent>
    <mc:AlternateContent xmlns:mc="http://schemas.openxmlformats.org/markup-compatibility/2006">
      <mc:Choice Requires="x14">
        <oleObject progId="Equation.3" shapeId="15368" r:id="rId13">
          <objectPr defaultSize="0" r:id="rId14">
            <anchor moveWithCells="1" sizeWithCells="1">
              <from>
                <xdr:col>4</xdr:col>
                <xdr:colOff>209550</xdr:colOff>
                <xdr:row>24</xdr:row>
                <xdr:rowOff>57150</xdr:rowOff>
              </from>
              <to>
                <xdr:col>4</xdr:col>
                <xdr:colOff>361950</xdr:colOff>
                <xdr:row>24</xdr:row>
                <xdr:rowOff>285750</xdr:rowOff>
              </to>
            </anchor>
          </objectPr>
        </oleObject>
      </mc:Choice>
      <mc:Fallback>
        <oleObject progId="Equation.3" shapeId="15368" r:id="rId13"/>
      </mc:Fallback>
    </mc:AlternateContent>
    <mc:AlternateContent xmlns:mc="http://schemas.openxmlformats.org/markup-compatibility/2006">
      <mc:Choice Requires="x14">
        <oleObject progId="Equation.3" shapeId="15369" r:id="rId15">
          <objectPr defaultSize="0" autoPict="0" r:id="rId16">
            <anchor moveWithCells="1" sizeWithCells="1">
              <from>
                <xdr:col>5</xdr:col>
                <xdr:colOff>228600</xdr:colOff>
                <xdr:row>24</xdr:row>
                <xdr:rowOff>57150</xdr:rowOff>
              </from>
              <to>
                <xdr:col>5</xdr:col>
                <xdr:colOff>409575</xdr:colOff>
                <xdr:row>24</xdr:row>
                <xdr:rowOff>285750</xdr:rowOff>
              </to>
            </anchor>
          </objectPr>
        </oleObject>
      </mc:Choice>
      <mc:Fallback>
        <oleObject progId="Equation.3" shapeId="15369" r:id="rId15"/>
      </mc:Fallback>
    </mc:AlternateContent>
    <mc:AlternateContent xmlns:mc="http://schemas.openxmlformats.org/markup-compatibility/2006">
      <mc:Choice Requires="x14">
        <oleObject progId="Equation.3" shapeId="15370" r:id="rId17">
          <objectPr defaultSize="0" autoPict="0" r:id="rId18">
            <anchor moveWithCells="1" sizeWithCells="1">
              <from>
                <xdr:col>6</xdr:col>
                <xdr:colOff>190500</xdr:colOff>
                <xdr:row>24</xdr:row>
                <xdr:rowOff>66675</xdr:rowOff>
              </from>
              <to>
                <xdr:col>6</xdr:col>
                <xdr:colOff>381000</xdr:colOff>
                <xdr:row>24</xdr:row>
                <xdr:rowOff>295275</xdr:rowOff>
              </to>
            </anchor>
          </objectPr>
        </oleObject>
      </mc:Choice>
      <mc:Fallback>
        <oleObject progId="Equation.3" shapeId="15370" r:id="rId17"/>
      </mc:Fallback>
    </mc:AlternateContent>
    <mc:AlternateContent xmlns:mc="http://schemas.openxmlformats.org/markup-compatibility/2006">
      <mc:Choice Requires="x14">
        <oleObject progId="Equation.3" shapeId="15373" r:id="rId19">
          <objectPr defaultSize="0" autoPict="0" r:id="rId20">
            <anchor moveWithCells="1" sizeWithCells="1">
              <from>
                <xdr:col>0</xdr:col>
                <xdr:colOff>285750</xdr:colOff>
                <xdr:row>61</xdr:row>
                <xdr:rowOff>19050</xdr:rowOff>
              </from>
              <to>
                <xdr:col>0</xdr:col>
                <xdr:colOff>438150</xdr:colOff>
                <xdr:row>61</xdr:row>
                <xdr:rowOff>247650</xdr:rowOff>
              </to>
            </anchor>
          </objectPr>
        </oleObject>
      </mc:Choice>
      <mc:Fallback>
        <oleObject progId="Equation.3" shapeId="15373" r:id="rId19"/>
      </mc:Fallback>
    </mc:AlternateContent>
    <mc:AlternateContent xmlns:mc="http://schemas.openxmlformats.org/markup-compatibility/2006">
      <mc:Choice Requires="x14">
        <oleObject progId="Equation.3" shapeId="15374" r:id="rId21">
          <objectPr defaultSize="0" autoPict="0" r:id="rId22">
            <anchor moveWithCells="1" sizeWithCells="1">
              <from>
                <xdr:col>1</xdr:col>
                <xdr:colOff>238125</xdr:colOff>
                <xdr:row>61</xdr:row>
                <xdr:rowOff>28575</xdr:rowOff>
              </from>
              <to>
                <xdr:col>1</xdr:col>
                <xdr:colOff>390525</xdr:colOff>
                <xdr:row>61</xdr:row>
                <xdr:rowOff>257175</xdr:rowOff>
              </to>
            </anchor>
          </objectPr>
        </oleObject>
      </mc:Choice>
      <mc:Fallback>
        <oleObject progId="Equation.3" shapeId="15374" r:id="rId21"/>
      </mc:Fallback>
    </mc:AlternateContent>
    <mc:AlternateContent xmlns:mc="http://schemas.openxmlformats.org/markup-compatibility/2006">
      <mc:Choice Requires="x14">
        <oleObject progId="Equation.3" shapeId="15375" r:id="rId23">
          <objectPr defaultSize="0" autoPict="0" r:id="rId24">
            <anchor moveWithCells="1" sizeWithCells="1">
              <from>
                <xdr:col>2</xdr:col>
                <xdr:colOff>180975</xdr:colOff>
                <xdr:row>61</xdr:row>
                <xdr:rowOff>19050</xdr:rowOff>
              </from>
              <to>
                <xdr:col>2</xdr:col>
                <xdr:colOff>438150</xdr:colOff>
                <xdr:row>61</xdr:row>
                <xdr:rowOff>247650</xdr:rowOff>
              </to>
            </anchor>
          </objectPr>
        </oleObject>
      </mc:Choice>
      <mc:Fallback>
        <oleObject progId="Equation.3" shapeId="15375" r:id="rId23"/>
      </mc:Fallback>
    </mc:AlternateContent>
    <mc:AlternateContent xmlns:mc="http://schemas.openxmlformats.org/markup-compatibility/2006">
      <mc:Choice Requires="x14">
        <oleObject progId="Equation.3" shapeId="15376" r:id="rId25">
          <objectPr defaultSize="0" autoPict="0" r:id="rId26">
            <anchor moveWithCells="1" sizeWithCells="1">
              <from>
                <xdr:col>0</xdr:col>
                <xdr:colOff>238125</xdr:colOff>
                <xdr:row>72</xdr:row>
                <xdr:rowOff>76200</xdr:rowOff>
              </from>
              <to>
                <xdr:col>1</xdr:col>
                <xdr:colOff>457200</xdr:colOff>
                <xdr:row>74</xdr:row>
                <xdr:rowOff>123825</xdr:rowOff>
              </to>
            </anchor>
          </objectPr>
        </oleObject>
      </mc:Choice>
      <mc:Fallback>
        <oleObject progId="Equation.3" shapeId="15376" r:id="rId25"/>
      </mc:Fallback>
    </mc:AlternateContent>
    <mc:AlternateContent xmlns:mc="http://schemas.openxmlformats.org/markup-compatibility/2006">
      <mc:Choice Requires="x14">
        <oleObject progId="Equation.3" shapeId="15377" r:id="rId27">
          <objectPr defaultSize="0" autoPict="0" r:id="rId28">
            <anchor moveWithCells="1" sizeWithCells="1">
              <from>
                <xdr:col>3</xdr:col>
                <xdr:colOff>285750</xdr:colOff>
                <xdr:row>61</xdr:row>
                <xdr:rowOff>28575</xdr:rowOff>
              </from>
              <to>
                <xdr:col>4</xdr:col>
                <xdr:colOff>390525</xdr:colOff>
                <xdr:row>61</xdr:row>
                <xdr:rowOff>266700</xdr:rowOff>
              </to>
            </anchor>
          </objectPr>
        </oleObject>
      </mc:Choice>
      <mc:Fallback>
        <oleObject progId="Equation.3" shapeId="15377" r:id="rId27"/>
      </mc:Fallback>
    </mc:AlternateContent>
    <mc:AlternateContent xmlns:mc="http://schemas.openxmlformats.org/markup-compatibility/2006">
      <mc:Choice Requires="x14">
        <oleObject progId="Equation.3" shapeId="15378" r:id="rId29">
          <objectPr defaultSize="0" autoPict="0" r:id="rId30">
            <anchor moveWithCells="1" sizeWithCells="1">
              <from>
                <xdr:col>5</xdr:col>
                <xdr:colOff>295275</xdr:colOff>
                <xdr:row>61</xdr:row>
                <xdr:rowOff>28575</xdr:rowOff>
              </from>
              <to>
                <xdr:col>6</xdr:col>
                <xdr:colOff>381000</xdr:colOff>
                <xdr:row>61</xdr:row>
                <xdr:rowOff>266700</xdr:rowOff>
              </to>
            </anchor>
          </objectPr>
        </oleObject>
      </mc:Choice>
      <mc:Fallback>
        <oleObject progId="Equation.3" shapeId="15378" r:id="rId29"/>
      </mc:Fallback>
    </mc:AlternateContent>
    <mc:AlternateContent xmlns:mc="http://schemas.openxmlformats.org/markup-compatibility/2006">
      <mc:Choice Requires="x14">
        <oleObject progId="Equation.3" shapeId="15379" r:id="rId31">
          <objectPr defaultSize="0" autoPict="0" r:id="rId32">
            <anchor moveWithCells="1" sizeWithCells="1">
              <from>
                <xdr:col>7</xdr:col>
                <xdr:colOff>323850</xdr:colOff>
                <xdr:row>61</xdr:row>
                <xdr:rowOff>38100</xdr:rowOff>
              </from>
              <to>
                <xdr:col>8</xdr:col>
                <xdr:colOff>428625</xdr:colOff>
                <xdr:row>61</xdr:row>
                <xdr:rowOff>276225</xdr:rowOff>
              </to>
            </anchor>
          </objectPr>
        </oleObject>
      </mc:Choice>
      <mc:Fallback>
        <oleObject progId="Equation.3" shapeId="15379" r:id="rId31"/>
      </mc:Fallback>
    </mc:AlternateContent>
    <mc:AlternateContent xmlns:mc="http://schemas.openxmlformats.org/markup-compatibility/2006">
      <mc:Choice Requires="x14">
        <oleObject progId="Equation.3" shapeId="15380" r:id="rId33">
          <objectPr defaultSize="0" autoPict="0" r:id="rId34">
            <anchor moveWithCells="1" sizeWithCells="1">
              <from>
                <xdr:col>1</xdr:col>
                <xdr:colOff>238125</xdr:colOff>
                <xdr:row>76</xdr:row>
                <xdr:rowOff>209550</xdr:rowOff>
              </from>
              <to>
                <xdr:col>2</xdr:col>
                <xdr:colOff>390525</xdr:colOff>
                <xdr:row>78</xdr:row>
                <xdr:rowOff>0</xdr:rowOff>
              </to>
            </anchor>
          </objectPr>
        </oleObject>
      </mc:Choice>
      <mc:Fallback>
        <oleObject progId="Equation.3" shapeId="15380" r:id="rId33"/>
      </mc:Fallback>
    </mc:AlternateContent>
    <mc:AlternateContent xmlns:mc="http://schemas.openxmlformats.org/markup-compatibility/2006">
      <mc:Choice Requires="x14">
        <oleObject progId="Equation.3" shapeId="15381" r:id="rId35">
          <objectPr defaultSize="0" autoPict="0" r:id="rId36">
            <anchor moveWithCells="1" sizeWithCells="1">
              <from>
                <xdr:col>0</xdr:col>
                <xdr:colOff>142875</xdr:colOff>
                <xdr:row>74</xdr:row>
                <xdr:rowOff>85725</xdr:rowOff>
              </from>
              <to>
                <xdr:col>2</xdr:col>
                <xdr:colOff>542925</xdr:colOff>
                <xdr:row>76</xdr:row>
                <xdr:rowOff>76200</xdr:rowOff>
              </to>
            </anchor>
          </objectPr>
        </oleObject>
      </mc:Choice>
      <mc:Fallback>
        <oleObject progId="Equation.3" shapeId="15381" r:id="rId35"/>
      </mc:Fallback>
    </mc:AlternateContent>
    <mc:AlternateContent xmlns:mc="http://schemas.openxmlformats.org/markup-compatibility/2006">
      <mc:Choice Requires="x14">
        <oleObject progId="Equation.3" shapeId="15382" r:id="rId37">
          <objectPr defaultSize="0" autoPict="0" r:id="rId38">
            <anchor moveWithCells="1" sizeWithCells="1">
              <from>
                <xdr:col>4</xdr:col>
                <xdr:colOff>495300</xdr:colOff>
                <xdr:row>84</xdr:row>
                <xdr:rowOff>19050</xdr:rowOff>
              </from>
              <to>
                <xdr:col>6</xdr:col>
                <xdr:colOff>600075</xdr:colOff>
                <xdr:row>87</xdr:row>
                <xdr:rowOff>95250</xdr:rowOff>
              </to>
            </anchor>
          </objectPr>
        </oleObject>
      </mc:Choice>
      <mc:Fallback>
        <oleObject progId="Equation.3" shapeId="15382" r:id="rId37"/>
      </mc:Fallback>
    </mc:AlternateContent>
    <mc:AlternateContent xmlns:mc="http://schemas.openxmlformats.org/markup-compatibility/2006">
      <mc:Choice Requires="x14">
        <oleObject progId="Equation.3" shapeId="15383" r:id="rId39">
          <objectPr defaultSize="0" autoPict="0" r:id="rId40">
            <anchor moveWithCells="1" sizeWithCells="1">
              <from>
                <xdr:col>0</xdr:col>
                <xdr:colOff>409575</xdr:colOff>
                <xdr:row>84</xdr:row>
                <xdr:rowOff>9525</xdr:rowOff>
              </from>
              <to>
                <xdr:col>2</xdr:col>
                <xdr:colOff>571500</xdr:colOff>
                <xdr:row>87</xdr:row>
                <xdr:rowOff>28575</xdr:rowOff>
              </to>
            </anchor>
          </objectPr>
        </oleObject>
      </mc:Choice>
      <mc:Fallback>
        <oleObject progId="Equation.3" shapeId="15383" r:id="rId39"/>
      </mc:Fallback>
    </mc:AlternateContent>
    <mc:AlternateContent xmlns:mc="http://schemas.openxmlformats.org/markup-compatibility/2006">
      <mc:Choice Requires="x14">
        <oleObject progId="Equation.3" shapeId="15384" r:id="rId41">
          <objectPr defaultSize="0" autoPict="0" r:id="rId42">
            <anchor moveWithCells="1" sizeWithCells="1">
              <from>
                <xdr:col>0</xdr:col>
                <xdr:colOff>438150</xdr:colOff>
                <xdr:row>81</xdr:row>
                <xdr:rowOff>66675</xdr:rowOff>
              </from>
              <to>
                <xdr:col>2</xdr:col>
                <xdr:colOff>581025</xdr:colOff>
                <xdr:row>83</xdr:row>
                <xdr:rowOff>114300</xdr:rowOff>
              </to>
            </anchor>
          </objectPr>
        </oleObject>
      </mc:Choice>
      <mc:Fallback>
        <oleObject progId="Equation.3" shapeId="15384" r:id="rId41"/>
      </mc:Fallback>
    </mc:AlternateContent>
    <mc:AlternateContent xmlns:mc="http://schemas.openxmlformats.org/markup-compatibility/2006">
      <mc:Choice Requires="x14">
        <oleObject progId="Equation.3" shapeId="15385" r:id="rId43">
          <objectPr defaultSize="0" autoPict="0" r:id="rId44">
            <anchor moveWithCells="1" sizeWithCells="1">
              <from>
                <xdr:col>4</xdr:col>
                <xdr:colOff>390525</xdr:colOff>
                <xdr:row>81</xdr:row>
                <xdr:rowOff>66675</xdr:rowOff>
              </from>
              <to>
                <xdr:col>7</xdr:col>
                <xdr:colOff>9525</xdr:colOff>
                <xdr:row>83</xdr:row>
                <xdr:rowOff>114300</xdr:rowOff>
              </to>
            </anchor>
          </objectPr>
        </oleObject>
      </mc:Choice>
      <mc:Fallback>
        <oleObject progId="Equation.3" shapeId="15385" r:id="rId43"/>
      </mc:Fallback>
    </mc:AlternateContent>
    <mc:AlternateContent xmlns:mc="http://schemas.openxmlformats.org/markup-compatibility/2006">
      <mc:Choice Requires="x14">
        <oleObject progId="Equation.3" shapeId="15386" r:id="rId45">
          <objectPr defaultSize="0" autoPict="0" r:id="rId46">
            <anchor moveWithCells="1" sizeWithCells="1">
              <from>
                <xdr:col>5</xdr:col>
                <xdr:colOff>352425</xdr:colOff>
                <xdr:row>75</xdr:row>
                <xdr:rowOff>57150</xdr:rowOff>
              </from>
              <to>
                <xdr:col>8</xdr:col>
                <xdr:colOff>419100</xdr:colOff>
                <xdr:row>78</xdr:row>
                <xdr:rowOff>85725</xdr:rowOff>
              </to>
            </anchor>
          </objectPr>
        </oleObject>
      </mc:Choice>
      <mc:Fallback>
        <oleObject progId="Equation.3" shapeId="15386" r:id="rId45"/>
      </mc:Fallback>
    </mc:AlternateContent>
    <mc:AlternateContent xmlns:mc="http://schemas.openxmlformats.org/markup-compatibility/2006">
      <mc:Choice Requires="x14">
        <oleObject progId="Equation.3" shapeId="15387" r:id="rId47">
          <objectPr defaultSize="0" autoPict="0" r:id="rId20">
            <anchor moveWithCells="1" sizeWithCells="1">
              <from>
                <xdr:col>0</xdr:col>
                <xdr:colOff>285750</xdr:colOff>
                <xdr:row>95</xdr:row>
                <xdr:rowOff>19050</xdr:rowOff>
              </from>
              <to>
                <xdr:col>0</xdr:col>
                <xdr:colOff>438150</xdr:colOff>
                <xdr:row>95</xdr:row>
                <xdr:rowOff>247650</xdr:rowOff>
              </to>
            </anchor>
          </objectPr>
        </oleObject>
      </mc:Choice>
      <mc:Fallback>
        <oleObject progId="Equation.3" shapeId="15387" r:id="rId47"/>
      </mc:Fallback>
    </mc:AlternateContent>
    <mc:AlternateContent xmlns:mc="http://schemas.openxmlformats.org/markup-compatibility/2006">
      <mc:Choice Requires="x14">
        <oleObject progId="Equation.3" shapeId="15388" r:id="rId48">
          <objectPr defaultSize="0" autoPict="0" r:id="rId49">
            <anchor moveWithCells="1" sizeWithCells="1">
              <from>
                <xdr:col>6</xdr:col>
                <xdr:colOff>0</xdr:colOff>
                <xdr:row>90</xdr:row>
                <xdr:rowOff>76200</xdr:rowOff>
              </from>
              <to>
                <xdr:col>7</xdr:col>
                <xdr:colOff>381000</xdr:colOff>
                <xdr:row>92</xdr:row>
                <xdr:rowOff>114300</xdr:rowOff>
              </to>
            </anchor>
          </objectPr>
        </oleObject>
      </mc:Choice>
      <mc:Fallback>
        <oleObject progId="Equation.3" shapeId="15388" r:id="rId48"/>
      </mc:Fallback>
    </mc:AlternateContent>
    <mc:AlternateContent xmlns:mc="http://schemas.openxmlformats.org/markup-compatibility/2006">
      <mc:Choice Requires="x14">
        <oleObject progId="Equation.3" shapeId="15389" r:id="rId50">
          <objectPr defaultSize="0" autoPict="0" r:id="rId51">
            <anchor moveWithCells="1" sizeWithCells="1">
              <from>
                <xdr:col>8</xdr:col>
                <xdr:colOff>485775</xdr:colOff>
                <xdr:row>90</xdr:row>
                <xdr:rowOff>47625</xdr:rowOff>
              </from>
              <to>
                <xdr:col>10</xdr:col>
                <xdr:colOff>333375</xdr:colOff>
                <xdr:row>92</xdr:row>
                <xdr:rowOff>123825</xdr:rowOff>
              </to>
            </anchor>
          </objectPr>
        </oleObject>
      </mc:Choice>
      <mc:Fallback>
        <oleObject progId="Equation.3" shapeId="15389" r:id="rId50"/>
      </mc:Fallback>
    </mc:AlternateContent>
    <mc:AlternateContent xmlns:mc="http://schemas.openxmlformats.org/markup-compatibility/2006">
      <mc:Choice Requires="x14">
        <oleObject progId="Equation.3" shapeId="15390" r:id="rId52">
          <objectPr defaultSize="0" autoPict="0" r:id="rId53">
            <anchor moveWithCells="1" sizeWithCells="1">
              <from>
                <xdr:col>11</xdr:col>
                <xdr:colOff>0</xdr:colOff>
                <xdr:row>90</xdr:row>
                <xdr:rowOff>95250</xdr:rowOff>
              </from>
              <to>
                <xdr:col>11</xdr:col>
                <xdr:colOff>247650</xdr:colOff>
                <xdr:row>92</xdr:row>
                <xdr:rowOff>133350</xdr:rowOff>
              </to>
            </anchor>
          </objectPr>
        </oleObject>
      </mc:Choice>
      <mc:Fallback>
        <oleObject progId="Equation.3" shapeId="15390" r:id="rId52"/>
      </mc:Fallback>
    </mc:AlternateContent>
    <mc:AlternateContent xmlns:mc="http://schemas.openxmlformats.org/markup-compatibility/2006">
      <mc:Choice Requires="x14">
        <oleObject progId="Equation.3" shapeId="15391" r:id="rId54">
          <objectPr defaultSize="0" autoPict="0" r:id="rId55">
            <anchor moveWithCells="1" sizeWithCells="1">
              <from>
                <xdr:col>1</xdr:col>
                <xdr:colOff>228600</xdr:colOff>
                <xdr:row>95</xdr:row>
                <xdr:rowOff>9525</xdr:rowOff>
              </from>
              <to>
                <xdr:col>1</xdr:col>
                <xdr:colOff>371475</xdr:colOff>
                <xdr:row>95</xdr:row>
                <xdr:rowOff>238125</xdr:rowOff>
              </to>
            </anchor>
          </objectPr>
        </oleObject>
      </mc:Choice>
      <mc:Fallback>
        <oleObject progId="Equation.3" shapeId="15391" r:id="rId54"/>
      </mc:Fallback>
    </mc:AlternateContent>
    <mc:AlternateContent xmlns:mc="http://schemas.openxmlformats.org/markup-compatibility/2006">
      <mc:Choice Requires="x14">
        <oleObject progId="Equation.3" shapeId="15392" r:id="rId56">
          <objectPr defaultSize="0" autoPict="0" r:id="rId57">
            <anchor moveWithCells="1" sizeWithCells="1">
              <from>
                <xdr:col>2</xdr:col>
                <xdr:colOff>114300</xdr:colOff>
                <xdr:row>95</xdr:row>
                <xdr:rowOff>19050</xdr:rowOff>
              </from>
              <to>
                <xdr:col>2</xdr:col>
                <xdr:colOff>485775</xdr:colOff>
                <xdr:row>95</xdr:row>
                <xdr:rowOff>247650</xdr:rowOff>
              </to>
            </anchor>
          </objectPr>
        </oleObject>
      </mc:Choice>
      <mc:Fallback>
        <oleObject progId="Equation.3" shapeId="15392" r:id="rId56"/>
      </mc:Fallback>
    </mc:AlternateContent>
    <mc:AlternateContent xmlns:mc="http://schemas.openxmlformats.org/markup-compatibility/2006">
      <mc:Choice Requires="x14">
        <oleObject progId="Equation.3" shapeId="15393" r:id="rId58">
          <objectPr defaultSize="0" autoPict="0" r:id="rId59">
            <anchor moveWithCells="1" sizeWithCells="1">
              <from>
                <xdr:col>3</xdr:col>
                <xdr:colOff>190500</xdr:colOff>
                <xdr:row>95</xdr:row>
                <xdr:rowOff>38100</xdr:rowOff>
              </from>
              <to>
                <xdr:col>3</xdr:col>
                <xdr:colOff>342900</xdr:colOff>
                <xdr:row>95</xdr:row>
                <xdr:rowOff>266700</xdr:rowOff>
              </to>
            </anchor>
          </objectPr>
        </oleObject>
      </mc:Choice>
      <mc:Fallback>
        <oleObject progId="Equation.3" shapeId="15393" r:id="rId58"/>
      </mc:Fallback>
    </mc:AlternateContent>
    <mc:AlternateContent xmlns:mc="http://schemas.openxmlformats.org/markup-compatibility/2006">
      <mc:Choice Requires="x14">
        <oleObject progId="Equation.3" shapeId="15394" r:id="rId60">
          <objectPr defaultSize="0" autoPict="0" r:id="rId61">
            <anchor moveWithCells="1" sizeWithCells="1">
              <from>
                <xdr:col>0</xdr:col>
                <xdr:colOff>66675</xdr:colOff>
                <xdr:row>111</xdr:row>
                <xdr:rowOff>161925</xdr:rowOff>
              </from>
              <to>
                <xdr:col>1</xdr:col>
                <xdr:colOff>590550</xdr:colOff>
                <xdr:row>113</xdr:row>
                <xdr:rowOff>38100</xdr:rowOff>
              </to>
            </anchor>
          </objectPr>
        </oleObject>
      </mc:Choice>
      <mc:Fallback>
        <oleObject progId="Equation.3" shapeId="15394" r:id="rId60"/>
      </mc:Fallback>
    </mc:AlternateContent>
    <mc:AlternateContent xmlns:mc="http://schemas.openxmlformats.org/markup-compatibility/2006">
      <mc:Choice Requires="x14">
        <oleObject progId="Equation.3" shapeId="15395" r:id="rId62">
          <objectPr defaultSize="0" autoPict="0" r:id="rId63">
            <anchor moveWithCells="1" sizeWithCells="1">
              <from>
                <xdr:col>5</xdr:col>
                <xdr:colOff>9525</xdr:colOff>
                <xdr:row>113</xdr:row>
                <xdr:rowOff>57150</xdr:rowOff>
              </from>
              <to>
                <xdr:col>7</xdr:col>
                <xdr:colOff>47625</xdr:colOff>
                <xdr:row>115</xdr:row>
                <xdr:rowOff>133350</xdr:rowOff>
              </to>
            </anchor>
          </objectPr>
        </oleObject>
      </mc:Choice>
      <mc:Fallback>
        <oleObject progId="Equation.3" shapeId="15395" r:id="rId62"/>
      </mc:Fallback>
    </mc:AlternateContent>
    <mc:AlternateContent xmlns:mc="http://schemas.openxmlformats.org/markup-compatibility/2006">
      <mc:Choice Requires="x14">
        <oleObject progId="Equation.3" shapeId="15396" r:id="rId64">
          <objectPr defaultSize="0" autoPict="0" r:id="rId22">
            <anchor moveWithCells="1" sizeWithCells="1">
              <from>
                <xdr:col>0</xdr:col>
                <xdr:colOff>238125</xdr:colOff>
                <xdr:row>118</xdr:row>
                <xdr:rowOff>152400</xdr:rowOff>
              </from>
              <to>
                <xdr:col>0</xdr:col>
                <xdr:colOff>390525</xdr:colOff>
                <xdr:row>118</xdr:row>
                <xdr:rowOff>381000</xdr:rowOff>
              </to>
            </anchor>
          </objectPr>
        </oleObject>
      </mc:Choice>
      <mc:Fallback>
        <oleObject progId="Equation.3" shapeId="15396" r:id="rId64"/>
      </mc:Fallback>
    </mc:AlternateContent>
    <mc:AlternateContent xmlns:mc="http://schemas.openxmlformats.org/markup-compatibility/2006">
      <mc:Choice Requires="x14">
        <oleObject progId="Equation.3" shapeId="15397" r:id="rId65">
          <objectPr defaultSize="0" autoPict="0" r:id="rId59">
            <anchor moveWithCells="1" sizeWithCells="1">
              <from>
                <xdr:col>1</xdr:col>
                <xdr:colOff>257175</xdr:colOff>
                <xdr:row>118</xdr:row>
                <xdr:rowOff>152400</xdr:rowOff>
              </from>
              <to>
                <xdr:col>1</xdr:col>
                <xdr:colOff>409575</xdr:colOff>
                <xdr:row>118</xdr:row>
                <xdr:rowOff>381000</xdr:rowOff>
              </to>
            </anchor>
          </objectPr>
        </oleObject>
      </mc:Choice>
      <mc:Fallback>
        <oleObject progId="Equation.3" shapeId="15397" r:id="rId65"/>
      </mc:Fallback>
    </mc:AlternateContent>
    <mc:AlternateContent xmlns:mc="http://schemas.openxmlformats.org/markup-compatibility/2006">
      <mc:Choice Requires="x14">
        <oleObject progId="Equation.3" shapeId="15398" r:id="rId66">
          <objectPr defaultSize="0" autoPict="0" r:id="rId67">
            <anchor moveWithCells="1" sizeWithCells="1">
              <from>
                <xdr:col>2</xdr:col>
                <xdr:colOff>323850</xdr:colOff>
                <xdr:row>118</xdr:row>
                <xdr:rowOff>0</xdr:rowOff>
              </from>
              <to>
                <xdr:col>3</xdr:col>
                <xdr:colOff>323850</xdr:colOff>
                <xdr:row>118</xdr:row>
                <xdr:rowOff>457200</xdr:rowOff>
              </to>
            </anchor>
          </objectPr>
        </oleObject>
      </mc:Choice>
      <mc:Fallback>
        <oleObject progId="Equation.3" shapeId="15398" r:id="rId66"/>
      </mc:Fallback>
    </mc:AlternateContent>
    <mc:AlternateContent xmlns:mc="http://schemas.openxmlformats.org/markup-compatibility/2006">
      <mc:Choice Requires="x14">
        <oleObject progId="Equation.3" shapeId="15399" r:id="rId68">
          <objectPr defaultSize="0" autoPict="0" r:id="rId69">
            <anchor moveWithCells="1" sizeWithCells="1">
              <from>
                <xdr:col>1</xdr:col>
                <xdr:colOff>123825</xdr:colOff>
                <xdr:row>131</xdr:row>
                <xdr:rowOff>9525</xdr:rowOff>
              </from>
              <to>
                <xdr:col>1</xdr:col>
                <xdr:colOff>590550</xdr:colOff>
                <xdr:row>132</xdr:row>
                <xdr:rowOff>57150</xdr:rowOff>
              </to>
            </anchor>
          </objectPr>
        </oleObject>
      </mc:Choice>
      <mc:Fallback>
        <oleObject progId="Equation.3" shapeId="15399" r:id="rId68"/>
      </mc:Fallback>
    </mc:AlternateContent>
    <mc:AlternateContent xmlns:mc="http://schemas.openxmlformats.org/markup-compatibility/2006">
      <mc:Choice Requires="x14">
        <oleObject progId="Equation.3" shapeId="15361" r:id="rId70">
          <objectPr defaultSize="0" autoPict="0" r:id="rId71">
            <anchor moveWithCells="1" sizeWithCells="1">
              <from>
                <xdr:col>2</xdr:col>
                <xdr:colOff>0</xdr:colOff>
                <xdr:row>7</xdr:row>
                <xdr:rowOff>161925</xdr:rowOff>
              </from>
              <to>
                <xdr:col>2</xdr:col>
                <xdr:colOff>0</xdr:colOff>
                <xdr:row>9</xdr:row>
                <xdr:rowOff>0</xdr:rowOff>
              </to>
            </anchor>
          </objectPr>
        </oleObject>
      </mc:Choice>
      <mc:Fallback>
        <oleObject progId="Equation.3" shapeId="15361" r:id="rId70"/>
      </mc:Fallback>
    </mc:AlternateContent>
    <mc:AlternateContent xmlns:mc="http://schemas.openxmlformats.org/markup-compatibility/2006">
      <mc:Choice Requires="x14">
        <oleObject progId="Equation.3" shapeId="15362" r:id="rId72">
          <objectPr defaultSize="0" autoPict="0" r:id="rId73">
            <anchor moveWithCells="1" sizeWithCells="1">
              <from>
                <xdr:col>2</xdr:col>
                <xdr:colOff>0</xdr:colOff>
                <xdr:row>7</xdr:row>
                <xdr:rowOff>180975</xdr:rowOff>
              </from>
              <to>
                <xdr:col>2</xdr:col>
                <xdr:colOff>0</xdr:colOff>
                <xdr:row>9</xdr:row>
                <xdr:rowOff>19050</xdr:rowOff>
              </to>
            </anchor>
          </objectPr>
        </oleObject>
      </mc:Choice>
      <mc:Fallback>
        <oleObject progId="Equation.3" shapeId="15362" r:id="rId72"/>
      </mc:Fallback>
    </mc:AlternateContent>
    <mc:AlternateContent xmlns:mc="http://schemas.openxmlformats.org/markup-compatibility/2006">
      <mc:Choice Requires="x14">
        <oleObject progId="Equation.3" shapeId="15371" r:id="rId74">
          <objectPr defaultSize="0" autoPict="0" r:id="rId75">
            <anchor moveWithCells="1" sizeWithCells="1">
              <from>
                <xdr:col>0</xdr:col>
                <xdr:colOff>495300</xdr:colOff>
                <xdr:row>46</xdr:row>
                <xdr:rowOff>161925</xdr:rowOff>
              </from>
              <to>
                <xdr:col>4</xdr:col>
                <xdr:colOff>600075</xdr:colOff>
                <xdr:row>48</xdr:row>
                <xdr:rowOff>152400</xdr:rowOff>
              </to>
            </anchor>
          </objectPr>
        </oleObject>
      </mc:Choice>
      <mc:Fallback>
        <oleObject progId="Equation.3" shapeId="15371" r:id="rId74"/>
      </mc:Fallback>
    </mc:AlternateContent>
    <mc:AlternateContent xmlns:mc="http://schemas.openxmlformats.org/markup-compatibility/2006">
      <mc:Choice Requires="x14">
        <oleObject progId="Equation.3" shapeId="15372" r:id="rId76">
          <objectPr defaultSize="0" autoPict="0" r:id="rId77">
            <anchor moveWithCells="1" sizeWithCells="1">
              <from>
                <xdr:col>1</xdr:col>
                <xdr:colOff>257175</xdr:colOff>
                <xdr:row>49</xdr:row>
                <xdr:rowOff>95250</xdr:rowOff>
              </from>
              <to>
                <xdr:col>4</xdr:col>
                <xdr:colOff>28575</xdr:colOff>
                <xdr:row>51</xdr:row>
                <xdr:rowOff>161925</xdr:rowOff>
              </to>
            </anchor>
          </objectPr>
        </oleObject>
      </mc:Choice>
      <mc:Fallback>
        <oleObject progId="Equation.3" shapeId="15372" r:id="rId76"/>
      </mc:Fallback>
    </mc:AlternateContent>
  </oleObjec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17"/>
  <sheetViews>
    <sheetView workbookViewId="0">
      <selection activeCell="B2" sqref="B2:F8"/>
    </sheetView>
  </sheetViews>
  <sheetFormatPr defaultRowHeight="18.75" x14ac:dyDescent="0.3"/>
  <cols>
    <col min="1" max="1" width="9.140625" style="17"/>
    <col min="2" max="2" width="14" style="17" bestFit="1" customWidth="1"/>
    <col min="3" max="4" width="9.140625" style="17"/>
    <col min="5" max="5" width="9.5703125" style="17" bestFit="1" customWidth="1"/>
    <col min="6" max="6" width="11.5703125" style="17" bestFit="1" customWidth="1"/>
    <col min="7" max="11" width="9.140625" style="17"/>
    <col min="12" max="12" width="23.28515625" style="17" bestFit="1" customWidth="1"/>
    <col min="13" max="13" width="27.140625" style="17" bestFit="1" customWidth="1"/>
    <col min="14" max="16384" width="9.140625" style="17"/>
  </cols>
  <sheetData>
    <row r="1" spans="2:13" x14ac:dyDescent="0.3">
      <c r="L1" s="10" t="s">
        <v>143</v>
      </c>
      <c r="M1" s="10" t="s">
        <v>144</v>
      </c>
    </row>
    <row r="2" spans="2:13" ht="24" x14ac:dyDescent="0.4">
      <c r="B2" s="10" t="s">
        <v>12</v>
      </c>
      <c r="C2" s="34" t="s">
        <v>151</v>
      </c>
      <c r="D2" s="34" t="s">
        <v>90</v>
      </c>
      <c r="E2" s="34" t="s">
        <v>91</v>
      </c>
      <c r="F2" s="34" t="s">
        <v>152</v>
      </c>
      <c r="L2" s="103" t="s">
        <v>145</v>
      </c>
      <c r="M2" s="103">
        <v>10</v>
      </c>
    </row>
    <row r="3" spans="2:13" x14ac:dyDescent="0.3">
      <c r="B3" s="104" t="s">
        <v>154</v>
      </c>
      <c r="C3" s="103">
        <v>12</v>
      </c>
      <c r="D3" s="103">
        <v>10</v>
      </c>
      <c r="E3" s="10">
        <f>C3*D3</f>
        <v>120</v>
      </c>
      <c r="F3" s="10">
        <f>C3*C3*D3</f>
        <v>1440</v>
      </c>
      <c r="L3" s="103" t="s">
        <v>146</v>
      </c>
      <c r="M3" s="103">
        <v>25</v>
      </c>
    </row>
    <row r="4" spans="2:13" x14ac:dyDescent="0.3">
      <c r="B4" s="104" t="s">
        <v>153</v>
      </c>
      <c r="C4" s="103">
        <v>14</v>
      </c>
      <c r="D4" s="103">
        <v>25</v>
      </c>
      <c r="E4" s="10">
        <f>C4*D4</f>
        <v>350</v>
      </c>
      <c r="F4" s="10">
        <f>C4*C4*D4</f>
        <v>4900</v>
      </c>
      <c r="L4" s="103" t="s">
        <v>147</v>
      </c>
      <c r="M4" s="103">
        <v>40</v>
      </c>
    </row>
    <row r="5" spans="2:13" x14ac:dyDescent="0.3">
      <c r="B5" s="104" t="s">
        <v>155</v>
      </c>
      <c r="C5" s="103">
        <v>16</v>
      </c>
      <c r="D5" s="103">
        <v>40</v>
      </c>
      <c r="E5" s="10">
        <f>C5*D5</f>
        <v>640</v>
      </c>
      <c r="F5" s="10">
        <f>C5*C5*D5</f>
        <v>10240</v>
      </c>
      <c r="L5" s="103" t="s">
        <v>148</v>
      </c>
      <c r="M5" s="103">
        <v>20</v>
      </c>
    </row>
    <row r="6" spans="2:13" x14ac:dyDescent="0.3">
      <c r="B6" s="104" t="s">
        <v>156</v>
      </c>
      <c r="C6" s="103">
        <v>18</v>
      </c>
      <c r="D6" s="103">
        <v>20</v>
      </c>
      <c r="E6" s="10">
        <f>C6*D6</f>
        <v>360</v>
      </c>
      <c r="F6" s="10">
        <f>C6*C6*D6</f>
        <v>6480</v>
      </c>
      <c r="L6" s="103" t="s">
        <v>149</v>
      </c>
      <c r="M6" s="103">
        <v>5</v>
      </c>
    </row>
    <row r="7" spans="2:13" ht="26.25" x14ac:dyDescent="0.4">
      <c r="B7" s="104" t="s">
        <v>157</v>
      </c>
      <c r="C7" s="103">
        <v>20</v>
      </c>
      <c r="D7" s="103">
        <v>5</v>
      </c>
      <c r="E7" s="10">
        <f>C7*D7</f>
        <v>100</v>
      </c>
      <c r="F7" s="10">
        <f>C7*C7*D7</f>
        <v>2000</v>
      </c>
      <c r="L7" s="102" t="s">
        <v>150</v>
      </c>
      <c r="M7" s="103">
        <f>SUM(M2:M6)</f>
        <v>100</v>
      </c>
    </row>
    <row r="8" spans="2:13" ht="26.25" x14ac:dyDescent="0.4">
      <c r="B8" s="102" t="s">
        <v>150</v>
      </c>
      <c r="C8" s="105"/>
      <c r="D8" s="105">
        <f>SUM(D3:D7)</f>
        <v>100</v>
      </c>
      <c r="E8" s="105">
        <f>SUM(E3:E7)</f>
        <v>1570</v>
      </c>
      <c r="F8" s="105">
        <f>SUM(F3:F7)</f>
        <v>25060</v>
      </c>
    </row>
    <row r="10" spans="2:13" x14ac:dyDescent="0.3">
      <c r="D10"/>
    </row>
    <row r="11" spans="2:13" ht="25.5" x14ac:dyDescent="0.35">
      <c r="E11" s="106">
        <f>E8/D8</f>
        <v>15.7</v>
      </c>
    </row>
    <row r="13" spans="2:13" x14ac:dyDescent="0.3">
      <c r="C13"/>
    </row>
    <row r="14" spans="2:13" ht="25.5" x14ac:dyDescent="0.35">
      <c r="F14" s="107">
        <f>F8/D8-E11*E11</f>
        <v>4.1100000000000136</v>
      </c>
    </row>
    <row r="15" spans="2:13" ht="22.5" x14ac:dyDescent="0.3">
      <c r="B15" s="58" t="s">
        <v>158</v>
      </c>
    </row>
    <row r="16" spans="2:13" x14ac:dyDescent="0.3">
      <c r="C16"/>
    </row>
    <row r="17" spans="6:6" ht="25.5" x14ac:dyDescent="0.35">
      <c r="F17" s="106">
        <f>100/99*F14</f>
        <v>4.1515151515151656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7409" r:id="rId4">
          <objectPr defaultSize="0" autoPict="0" r:id="rId5">
            <anchor moveWithCells="1" sizeWithCells="1">
              <from>
                <xdr:col>1</xdr:col>
                <xdr:colOff>9525</xdr:colOff>
                <xdr:row>8</xdr:row>
                <xdr:rowOff>76200</xdr:rowOff>
              </from>
              <to>
                <xdr:col>4</xdr:col>
                <xdr:colOff>85725</xdr:colOff>
                <xdr:row>11</xdr:row>
                <xdr:rowOff>104775</xdr:rowOff>
              </to>
            </anchor>
          </objectPr>
        </oleObject>
      </mc:Choice>
      <mc:Fallback>
        <oleObject progId="Equation.3" shapeId="17409" r:id="rId4"/>
      </mc:Fallback>
    </mc:AlternateContent>
    <mc:AlternateContent xmlns:mc="http://schemas.openxmlformats.org/markup-compatibility/2006">
      <mc:Choice Requires="x14">
        <oleObject progId="Equation.3" shapeId="17410" r:id="rId6">
          <objectPr defaultSize="0" autoPict="0" r:id="rId7">
            <anchor moveWithCells="1" sizeWithCells="1">
              <from>
                <xdr:col>0</xdr:col>
                <xdr:colOff>590550</xdr:colOff>
                <xdr:row>12</xdr:row>
                <xdr:rowOff>0</xdr:rowOff>
              </from>
              <to>
                <xdr:col>4</xdr:col>
                <xdr:colOff>619125</xdr:colOff>
                <xdr:row>14</xdr:row>
                <xdr:rowOff>28575</xdr:rowOff>
              </to>
            </anchor>
          </objectPr>
        </oleObject>
      </mc:Choice>
      <mc:Fallback>
        <oleObject progId="Equation.3" shapeId="17410" r:id="rId6"/>
      </mc:Fallback>
    </mc:AlternateContent>
    <mc:AlternateContent xmlns:mc="http://schemas.openxmlformats.org/markup-compatibility/2006">
      <mc:Choice Requires="x14">
        <oleObject progId="Equation.3" shapeId="17411" r:id="rId8">
          <objectPr defaultSize="0" autoPict="0" r:id="rId9">
            <anchor moveWithCells="1" sizeWithCells="1">
              <from>
                <xdr:col>1</xdr:col>
                <xdr:colOff>47625</xdr:colOff>
                <xdr:row>15</xdr:row>
                <xdr:rowOff>0</xdr:rowOff>
              </from>
              <to>
                <xdr:col>4</xdr:col>
                <xdr:colOff>638175</xdr:colOff>
                <xdr:row>17</xdr:row>
                <xdr:rowOff>152400</xdr:rowOff>
              </to>
            </anchor>
          </objectPr>
        </oleObject>
      </mc:Choice>
      <mc:Fallback>
        <oleObject progId="Equation.3" shapeId="17411" r:id="rId8"/>
      </mc:Fallback>
    </mc:AlternateContent>
  </oleObjec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7"/>
  <sheetViews>
    <sheetView workbookViewId="0">
      <selection activeCell="G26" sqref="G26"/>
    </sheetView>
  </sheetViews>
  <sheetFormatPr defaultRowHeight="18.75" x14ac:dyDescent="0.3"/>
  <cols>
    <col min="1" max="3" width="9.140625" style="17"/>
    <col min="4" max="4" width="25.28515625" style="17" bestFit="1" customWidth="1"/>
    <col min="5" max="16384" width="9.140625" style="17"/>
  </cols>
  <sheetData>
    <row r="2" spans="2:5" ht="24" x14ac:dyDescent="0.4">
      <c r="B2" s="108" t="s">
        <v>151</v>
      </c>
      <c r="C2" s="108" t="s">
        <v>159</v>
      </c>
      <c r="D2" s="108" t="s">
        <v>160</v>
      </c>
      <c r="E2" s="108" t="s">
        <v>161</v>
      </c>
    </row>
    <row r="3" spans="2:5" x14ac:dyDescent="0.3">
      <c r="B3" s="10">
        <v>76</v>
      </c>
      <c r="C3" s="10">
        <v>81</v>
      </c>
      <c r="D3" s="10">
        <f>B3-C3</f>
        <v>-5</v>
      </c>
      <c r="E3" s="10">
        <f>D3*D3</f>
        <v>25</v>
      </c>
    </row>
    <row r="4" spans="2:5" x14ac:dyDescent="0.3">
      <c r="B4" s="10">
        <v>71</v>
      </c>
      <c r="C4" s="10">
        <v>85</v>
      </c>
      <c r="D4" s="10">
        <f t="shared" ref="D4:D11" si="0">B4-C4</f>
        <v>-14</v>
      </c>
      <c r="E4" s="10">
        <f t="shared" ref="E4:E11" si="1">D4*D4</f>
        <v>196</v>
      </c>
    </row>
    <row r="5" spans="2:5" x14ac:dyDescent="0.3">
      <c r="B5" s="10">
        <v>57</v>
      </c>
      <c r="C5" s="10">
        <v>52</v>
      </c>
      <c r="D5" s="10">
        <f t="shared" si="0"/>
        <v>5</v>
      </c>
      <c r="E5" s="10">
        <f t="shared" si="1"/>
        <v>25</v>
      </c>
    </row>
    <row r="6" spans="2:5" x14ac:dyDescent="0.3">
      <c r="B6" s="10">
        <v>49</v>
      </c>
      <c r="C6" s="10">
        <v>52</v>
      </c>
      <c r="D6" s="10">
        <f t="shared" si="0"/>
        <v>-3</v>
      </c>
      <c r="E6" s="10">
        <f t="shared" si="1"/>
        <v>9</v>
      </c>
    </row>
    <row r="7" spans="2:5" x14ac:dyDescent="0.3">
      <c r="B7" s="10">
        <v>70</v>
      </c>
      <c r="C7" s="10">
        <v>70</v>
      </c>
      <c r="D7" s="10">
        <f t="shared" si="0"/>
        <v>0</v>
      </c>
      <c r="E7" s="10">
        <f t="shared" si="1"/>
        <v>0</v>
      </c>
    </row>
    <row r="8" spans="2:5" x14ac:dyDescent="0.3">
      <c r="B8" s="10">
        <v>69</v>
      </c>
      <c r="C8" s="10">
        <v>63</v>
      </c>
      <c r="D8" s="10">
        <f t="shared" si="0"/>
        <v>6</v>
      </c>
      <c r="E8" s="10">
        <f t="shared" si="1"/>
        <v>36</v>
      </c>
    </row>
    <row r="9" spans="2:5" x14ac:dyDescent="0.3">
      <c r="B9" s="10">
        <v>26</v>
      </c>
      <c r="C9" s="10">
        <v>33</v>
      </c>
      <c r="D9" s="10">
        <f t="shared" si="0"/>
        <v>-7</v>
      </c>
      <c r="E9" s="10">
        <f t="shared" si="1"/>
        <v>49</v>
      </c>
    </row>
    <row r="10" spans="2:5" x14ac:dyDescent="0.3">
      <c r="B10" s="10">
        <v>65</v>
      </c>
      <c r="C10" s="10">
        <v>83</v>
      </c>
      <c r="D10" s="10">
        <f t="shared" si="0"/>
        <v>-18</v>
      </c>
      <c r="E10" s="10">
        <f t="shared" si="1"/>
        <v>324</v>
      </c>
    </row>
    <row r="11" spans="2:5" x14ac:dyDescent="0.3">
      <c r="B11" s="10">
        <v>59</v>
      </c>
      <c r="C11" s="10">
        <v>62</v>
      </c>
      <c r="D11" s="10">
        <f t="shared" si="0"/>
        <v>-3</v>
      </c>
      <c r="E11" s="10">
        <f t="shared" si="1"/>
        <v>9</v>
      </c>
    </row>
    <row r="12" spans="2:5" ht="26.25" x14ac:dyDescent="0.4">
      <c r="B12" s="241" t="s">
        <v>150</v>
      </c>
      <c r="C12" s="242"/>
      <c r="D12" s="10">
        <f>SUM(D3:D11)</f>
        <v>-39</v>
      </c>
      <c r="E12" s="10">
        <f>SUM(E3:E11)</f>
        <v>673</v>
      </c>
    </row>
    <row r="13" spans="2:5" x14ac:dyDescent="0.3">
      <c r="C13" s="67" t="s">
        <v>162</v>
      </c>
    </row>
    <row r="14" spans="2:5" ht="25.5" x14ac:dyDescent="0.35">
      <c r="C14"/>
      <c r="D14" s="66">
        <f>D12/9</f>
        <v>-4.333333333333333</v>
      </c>
    </row>
    <row r="15" spans="2:5" x14ac:dyDescent="0.3">
      <c r="B15" s="109" t="s">
        <v>163</v>
      </c>
    </row>
    <row r="17" spans="2:2" x14ac:dyDescent="0.3">
      <c r="B17"/>
    </row>
  </sheetData>
  <mergeCells count="1">
    <mergeCell ref="B12:C12"/>
  </mergeCells>
  <hyperlinks>
    <hyperlink ref="B15" r:id="rId1" location="sko" display="http://www.mathprofi.ru/formula_dispersii_standartnoe_otklonenie_koefficient_variacii.html - sko"/>
  </hyperlinks>
  <pageMargins left="0.7" right="0.7" top="0.75" bottom="0.75" header="0.3" footer="0.3"/>
  <drawing r:id="rId2"/>
  <legacyDrawing r:id="rId3"/>
  <oleObjects>
    <mc:AlternateContent xmlns:mc="http://schemas.openxmlformats.org/markup-compatibility/2006">
      <mc:Choice Requires="x14">
        <oleObject progId="Equation.3" shapeId="18434" r:id="rId4">
          <objectPr defaultSize="0" autoPict="0" r:id="rId5">
            <anchor moveWithCells="1" sizeWithCells="1">
              <from>
                <xdr:col>2</xdr:col>
                <xdr:colOff>0</xdr:colOff>
                <xdr:row>12</xdr:row>
                <xdr:rowOff>47625</xdr:rowOff>
              </from>
              <to>
                <xdr:col>2</xdr:col>
                <xdr:colOff>590550</xdr:colOff>
                <xdr:row>14</xdr:row>
                <xdr:rowOff>38100</xdr:rowOff>
              </to>
            </anchor>
          </objectPr>
        </oleObject>
      </mc:Choice>
      <mc:Fallback>
        <oleObject progId="Equation.3" shapeId="18434" r:id="rId4"/>
      </mc:Fallback>
    </mc:AlternateContent>
    <mc:AlternateContent xmlns:mc="http://schemas.openxmlformats.org/markup-compatibility/2006">
      <mc:Choice Requires="x14">
        <oleObject progId="Equation.3" shapeId="18435" r:id="rId6">
          <objectPr defaultSize="0" autoPict="0" r:id="rId7">
            <anchor moveWithCells="1" sizeWithCells="1">
              <from>
                <xdr:col>0</xdr:col>
                <xdr:colOff>209550</xdr:colOff>
                <xdr:row>15</xdr:row>
                <xdr:rowOff>47625</xdr:rowOff>
              </from>
              <to>
                <xdr:col>6</xdr:col>
                <xdr:colOff>266700</xdr:colOff>
                <xdr:row>20</xdr:row>
                <xdr:rowOff>9525</xdr:rowOff>
              </to>
            </anchor>
          </objectPr>
        </oleObject>
      </mc:Choice>
      <mc:Fallback>
        <oleObject progId="Equation.3" shapeId="18435" r:id="rId6"/>
      </mc:Fallback>
    </mc:AlternateContent>
  </oleObjec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16"/>
  <sheetViews>
    <sheetView workbookViewId="0">
      <selection activeCell="G12" sqref="G12"/>
    </sheetView>
  </sheetViews>
  <sheetFormatPr defaultRowHeight="18.75" x14ac:dyDescent="0.3"/>
  <cols>
    <col min="1" max="3" width="9.140625" style="17"/>
    <col min="4" max="4" width="25.28515625" style="17" bestFit="1" customWidth="1"/>
    <col min="5" max="16384" width="9.140625" style="17"/>
  </cols>
  <sheetData>
    <row r="2" spans="2:5" ht="24" x14ac:dyDescent="0.4">
      <c r="B2" s="108" t="s">
        <v>151</v>
      </c>
      <c r="C2" s="108" t="s">
        <v>159</v>
      </c>
      <c r="D2" s="108" t="s">
        <v>160</v>
      </c>
      <c r="E2" s="108" t="s">
        <v>161</v>
      </c>
    </row>
    <row r="3" spans="2:5" x14ac:dyDescent="0.3">
      <c r="B3" s="10">
        <v>15</v>
      </c>
      <c r="C3" s="10">
        <v>15</v>
      </c>
      <c r="D3" s="10">
        <f>B3-C3</f>
        <v>0</v>
      </c>
      <c r="E3" s="10">
        <f>D3*D3</f>
        <v>0</v>
      </c>
    </row>
    <row r="4" spans="2:5" x14ac:dyDescent="0.3">
      <c r="B4" s="10">
        <v>20</v>
      </c>
      <c r="C4" s="10">
        <v>22</v>
      </c>
      <c r="D4" s="10">
        <f t="shared" ref="D4:D10" si="0">B4-C4</f>
        <v>-2</v>
      </c>
      <c r="E4" s="10">
        <f t="shared" ref="E4:E10" si="1">D4*D4</f>
        <v>4</v>
      </c>
    </row>
    <row r="5" spans="2:5" x14ac:dyDescent="0.3">
      <c r="B5" s="10">
        <v>16</v>
      </c>
      <c r="C5" s="10">
        <v>14</v>
      </c>
      <c r="D5" s="10">
        <f t="shared" si="0"/>
        <v>2</v>
      </c>
      <c r="E5" s="10">
        <f t="shared" si="1"/>
        <v>4</v>
      </c>
    </row>
    <row r="6" spans="2:5" x14ac:dyDescent="0.3">
      <c r="B6" s="10">
        <v>22</v>
      </c>
      <c r="C6" s="10">
        <v>25</v>
      </c>
      <c r="D6" s="10">
        <f t="shared" si="0"/>
        <v>-3</v>
      </c>
      <c r="E6" s="10">
        <f t="shared" si="1"/>
        <v>9</v>
      </c>
    </row>
    <row r="7" spans="2:5" x14ac:dyDescent="0.3">
      <c r="B7" s="10">
        <v>24</v>
      </c>
      <c r="C7" s="10">
        <v>29</v>
      </c>
      <c r="D7" s="10">
        <f t="shared" si="0"/>
        <v>-5</v>
      </c>
      <c r="E7" s="10">
        <f t="shared" si="1"/>
        <v>25</v>
      </c>
    </row>
    <row r="8" spans="2:5" x14ac:dyDescent="0.3">
      <c r="B8" s="10">
        <v>14</v>
      </c>
      <c r="C8" s="10">
        <v>16</v>
      </c>
      <c r="D8" s="10">
        <f t="shared" si="0"/>
        <v>-2</v>
      </c>
      <c r="E8" s="10">
        <f t="shared" si="1"/>
        <v>4</v>
      </c>
    </row>
    <row r="9" spans="2:5" x14ac:dyDescent="0.3">
      <c r="B9" s="10">
        <v>18</v>
      </c>
      <c r="C9" s="10">
        <v>20</v>
      </c>
      <c r="D9" s="10">
        <f t="shared" si="0"/>
        <v>-2</v>
      </c>
      <c r="E9" s="10">
        <f t="shared" si="1"/>
        <v>4</v>
      </c>
    </row>
    <row r="10" spans="2:5" x14ac:dyDescent="0.3">
      <c r="B10" s="10">
        <v>20</v>
      </c>
      <c r="C10" s="10">
        <v>24</v>
      </c>
      <c r="D10" s="10">
        <f t="shared" si="0"/>
        <v>-4</v>
      </c>
      <c r="E10" s="10">
        <f t="shared" si="1"/>
        <v>16</v>
      </c>
    </row>
    <row r="11" spans="2:5" ht="26.25" x14ac:dyDescent="0.4">
      <c r="B11" s="241" t="s">
        <v>150</v>
      </c>
      <c r="C11" s="242"/>
      <c r="D11" s="10">
        <f>SUM(D3:D10)</f>
        <v>-16</v>
      </c>
      <c r="E11" s="10">
        <f>SUM(E3:E10)</f>
        <v>66</v>
      </c>
    </row>
    <row r="12" spans="2:5" x14ac:dyDescent="0.3">
      <c r="C12" s="67" t="s">
        <v>162</v>
      </c>
    </row>
    <row r="13" spans="2:5" ht="25.5" x14ac:dyDescent="0.35">
      <c r="C13"/>
      <c r="D13" s="66">
        <f>D11/8</f>
        <v>-2</v>
      </c>
    </row>
    <row r="14" spans="2:5" x14ac:dyDescent="0.3">
      <c r="B14" s="109" t="s">
        <v>163</v>
      </c>
    </row>
    <row r="16" spans="2:5" x14ac:dyDescent="0.3">
      <c r="B16"/>
    </row>
  </sheetData>
  <mergeCells count="1">
    <mergeCell ref="B11:C11"/>
  </mergeCells>
  <hyperlinks>
    <hyperlink ref="B14" r:id="rId1" location="sko" display="http://www.mathprofi.ru/formula_dispersii_standartnoe_otklonenie_koefficient_variacii.html - sko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Equation.3" shapeId="19457" r:id="rId5">
          <objectPr defaultSize="0" autoPict="0" r:id="rId6">
            <anchor moveWithCells="1" sizeWithCells="1">
              <from>
                <xdr:col>2</xdr:col>
                <xdr:colOff>0</xdr:colOff>
                <xdr:row>11</xdr:row>
                <xdr:rowOff>47625</xdr:rowOff>
              </from>
              <to>
                <xdr:col>2</xdr:col>
                <xdr:colOff>590550</xdr:colOff>
                <xdr:row>13</xdr:row>
                <xdr:rowOff>38100</xdr:rowOff>
              </to>
            </anchor>
          </objectPr>
        </oleObject>
      </mc:Choice>
      <mc:Fallback>
        <oleObject progId="Equation.3" shapeId="19457" r:id="rId5"/>
      </mc:Fallback>
    </mc:AlternateContent>
    <mc:AlternateContent xmlns:mc="http://schemas.openxmlformats.org/markup-compatibility/2006">
      <mc:Choice Requires="x14">
        <oleObject progId="Equation.3" shapeId="19458" r:id="rId7">
          <objectPr defaultSize="0" autoPict="0" r:id="rId8">
            <anchor moveWithCells="1" sizeWithCells="1">
              <from>
                <xdr:col>0</xdr:col>
                <xdr:colOff>85725</xdr:colOff>
                <xdr:row>14</xdr:row>
                <xdr:rowOff>47625</xdr:rowOff>
              </from>
              <to>
                <xdr:col>5</xdr:col>
                <xdr:colOff>66675</xdr:colOff>
                <xdr:row>17</xdr:row>
                <xdr:rowOff>190500</xdr:rowOff>
              </to>
            </anchor>
          </objectPr>
        </oleObject>
      </mc:Choice>
      <mc:Fallback>
        <oleObject progId="Equation.3" shapeId="19458" r:id="rId7"/>
      </mc:Fallback>
    </mc:AlternateContent>
  </oleObjec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3"/>
  <sheetViews>
    <sheetView topLeftCell="A13" workbookViewId="0">
      <selection activeCell="C27" sqref="C27"/>
    </sheetView>
  </sheetViews>
  <sheetFormatPr defaultRowHeight="18.75" x14ac:dyDescent="0.3"/>
  <cols>
    <col min="1" max="3" width="9.140625" style="17"/>
    <col min="4" max="4" width="11.5703125" style="17" customWidth="1"/>
    <col min="5" max="6" width="9.140625" style="17"/>
    <col min="7" max="7" width="10.7109375" style="17" customWidth="1"/>
    <col min="8" max="8" width="11.85546875" style="17" customWidth="1"/>
    <col min="9" max="16384" width="9.140625" style="17"/>
  </cols>
  <sheetData>
    <row r="2" spans="2:9" ht="24" x14ac:dyDescent="0.4">
      <c r="B2" s="34" t="s">
        <v>89</v>
      </c>
      <c r="C2" s="34" t="s">
        <v>90</v>
      </c>
      <c r="D2" s="34" t="s">
        <v>91</v>
      </c>
      <c r="E2" s="34" t="s">
        <v>152</v>
      </c>
      <c r="F2" s="110"/>
      <c r="G2" s="34" t="s">
        <v>164</v>
      </c>
      <c r="H2" s="34" t="s">
        <v>165</v>
      </c>
      <c r="I2" s="34" t="s">
        <v>166</v>
      </c>
    </row>
    <row r="3" spans="2:9" x14ac:dyDescent="0.3">
      <c r="B3" s="10">
        <v>2</v>
      </c>
      <c r="C3" s="10">
        <v>3</v>
      </c>
      <c r="D3" s="10">
        <f>B3*C3</f>
        <v>6</v>
      </c>
      <c r="E3" s="10">
        <f>B3*B3*C3</f>
        <v>12</v>
      </c>
      <c r="G3" s="10">
        <v>1</v>
      </c>
      <c r="H3" s="10">
        <f>B3*G3</f>
        <v>2</v>
      </c>
      <c r="I3" s="10">
        <f>B3*B3*G3</f>
        <v>4</v>
      </c>
    </row>
    <row r="4" spans="2:9" x14ac:dyDescent="0.3">
      <c r="B4" s="10">
        <v>3</v>
      </c>
      <c r="C4" s="10">
        <v>9</v>
      </c>
      <c r="D4" s="10">
        <f>B4*C4</f>
        <v>27</v>
      </c>
      <c r="E4" s="10">
        <f>B4*B4*C4</f>
        <v>81</v>
      </c>
      <c r="G4" s="10">
        <v>11</v>
      </c>
      <c r="H4" s="10">
        <f>B4*G4</f>
        <v>33</v>
      </c>
      <c r="I4" s="10">
        <f>B4*B4*G4</f>
        <v>99</v>
      </c>
    </row>
    <row r="5" spans="2:9" x14ac:dyDescent="0.3">
      <c r="B5" s="10">
        <v>4</v>
      </c>
      <c r="C5" s="10">
        <v>4</v>
      </c>
      <c r="D5" s="10">
        <f>B5*C5</f>
        <v>16</v>
      </c>
      <c r="E5" s="10">
        <f>B5*B5*C5</f>
        <v>64</v>
      </c>
      <c r="G5" s="10">
        <v>8</v>
      </c>
      <c r="H5" s="10">
        <f>B5*G5</f>
        <v>32</v>
      </c>
      <c r="I5" s="10">
        <f>B5*B5*G5</f>
        <v>128</v>
      </c>
    </row>
    <row r="6" spans="2:9" x14ac:dyDescent="0.3">
      <c r="B6" s="10">
        <v>5</v>
      </c>
      <c r="C6" s="10">
        <v>2</v>
      </c>
      <c r="D6" s="10">
        <f>B6*C6</f>
        <v>10</v>
      </c>
      <c r="E6" s="10">
        <f>B6*B6*C6</f>
        <v>50</v>
      </c>
      <c r="G6" s="10">
        <v>3</v>
      </c>
      <c r="H6" s="10">
        <f>B6*G6</f>
        <v>15</v>
      </c>
      <c r="I6" s="10">
        <f>B6*B6*G6</f>
        <v>75</v>
      </c>
    </row>
    <row r="7" spans="2:9" ht="26.25" x14ac:dyDescent="0.4">
      <c r="B7" s="102" t="s">
        <v>150</v>
      </c>
      <c r="C7" s="111">
        <f>SUM(C3:C6)</f>
        <v>18</v>
      </c>
      <c r="D7" s="111">
        <f>SUM(D3:D6)</f>
        <v>59</v>
      </c>
      <c r="E7" s="111">
        <f>SUM(E3:E6)</f>
        <v>207</v>
      </c>
      <c r="G7" s="111">
        <f>SUM(G3:G6)</f>
        <v>23</v>
      </c>
      <c r="H7" s="111">
        <f>SUM(H3:H6)</f>
        <v>82</v>
      </c>
      <c r="I7" s="111">
        <f>SUM(I3:I6)</f>
        <v>306</v>
      </c>
    </row>
    <row r="9" spans="2:9" ht="25.5" x14ac:dyDescent="0.35">
      <c r="B9"/>
      <c r="D9" s="107">
        <f>D7/C7</f>
        <v>3.2777777777777777</v>
      </c>
      <c r="G9"/>
      <c r="H9" s="107">
        <f>H7/G7</f>
        <v>3.5652173913043477</v>
      </c>
    </row>
    <row r="11" spans="2:9" x14ac:dyDescent="0.3">
      <c r="B11" s="113" t="s">
        <v>167</v>
      </c>
    </row>
    <row r="13" spans="2:9" ht="25.5" x14ac:dyDescent="0.35">
      <c r="B13"/>
      <c r="G13" s="112">
        <f>E7/C7-D9^2</f>
        <v>0.7561728395061742</v>
      </c>
    </row>
    <row r="16" spans="2:9" ht="25.5" x14ac:dyDescent="0.35">
      <c r="B16"/>
      <c r="G16" s="112">
        <f>I7/G7-H9^2</f>
        <v>0.5935727788279781</v>
      </c>
    </row>
    <row r="18" spans="2:7" x14ac:dyDescent="0.3">
      <c r="B18" s="114" t="s">
        <v>168</v>
      </c>
    </row>
    <row r="20" spans="2:7" ht="25.5" x14ac:dyDescent="0.35">
      <c r="B20"/>
      <c r="G20" s="115">
        <f>C7/(C7-1)*G13</f>
        <v>0.80065359477124332</v>
      </c>
    </row>
    <row r="23" spans="2:7" ht="25.5" x14ac:dyDescent="0.35">
      <c r="D23"/>
      <c r="G23" s="115">
        <f>G7/(G7-1)*G16</f>
        <v>0.62055335968379521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0481" r:id="rId3">
          <objectPr defaultSize="0" autoPict="0" r:id="rId4">
            <anchor moveWithCells="1" sizeWithCells="1">
              <from>
                <xdr:col>1</xdr:col>
                <xdr:colOff>19050</xdr:colOff>
                <xdr:row>7</xdr:row>
                <xdr:rowOff>76200</xdr:rowOff>
              </from>
              <to>
                <xdr:col>3</xdr:col>
                <xdr:colOff>47625</xdr:colOff>
                <xdr:row>9</xdr:row>
                <xdr:rowOff>209550</xdr:rowOff>
              </to>
            </anchor>
          </objectPr>
        </oleObject>
      </mc:Choice>
      <mc:Fallback>
        <oleObject progId="Equation.3" shapeId="20481" r:id="rId3"/>
      </mc:Fallback>
    </mc:AlternateContent>
    <mc:AlternateContent xmlns:mc="http://schemas.openxmlformats.org/markup-compatibility/2006">
      <mc:Choice Requires="x14">
        <oleObject progId="Equation.3" shapeId="20482" r:id="rId5">
          <objectPr defaultSize="0" autoPict="0" r:id="rId6">
            <anchor moveWithCells="1" sizeWithCells="1">
              <from>
                <xdr:col>4</xdr:col>
                <xdr:colOff>514350</xdr:colOff>
                <xdr:row>7</xdr:row>
                <xdr:rowOff>76200</xdr:rowOff>
              </from>
              <to>
                <xdr:col>7</xdr:col>
                <xdr:colOff>9525</xdr:colOff>
                <xdr:row>9</xdr:row>
                <xdr:rowOff>190500</xdr:rowOff>
              </to>
            </anchor>
          </objectPr>
        </oleObject>
      </mc:Choice>
      <mc:Fallback>
        <oleObject progId="Equation.3" shapeId="20482" r:id="rId5"/>
      </mc:Fallback>
    </mc:AlternateContent>
    <mc:AlternateContent xmlns:mc="http://schemas.openxmlformats.org/markup-compatibility/2006">
      <mc:Choice Requires="x14">
        <oleObject progId="Equation.3" shapeId="20483" r:id="rId7">
          <objectPr defaultSize="0" autoPict="0" r:id="rId8">
            <anchor moveWithCells="1" sizeWithCells="1">
              <from>
                <xdr:col>1</xdr:col>
                <xdr:colOff>0</xdr:colOff>
                <xdr:row>11</xdr:row>
                <xdr:rowOff>9525</xdr:rowOff>
              </from>
              <to>
                <xdr:col>5</xdr:col>
                <xdr:colOff>542925</xdr:colOff>
                <xdr:row>13</xdr:row>
                <xdr:rowOff>47625</xdr:rowOff>
              </to>
            </anchor>
          </objectPr>
        </oleObject>
      </mc:Choice>
      <mc:Fallback>
        <oleObject progId="Equation.3" shapeId="20483" r:id="rId7"/>
      </mc:Fallback>
    </mc:AlternateContent>
    <mc:AlternateContent xmlns:mc="http://schemas.openxmlformats.org/markup-compatibility/2006">
      <mc:Choice Requires="x14">
        <oleObject progId="Equation.3" shapeId="20484" r:id="rId9">
          <objectPr defaultSize="0" autoPict="0" r:id="rId10">
            <anchor moveWithCells="1" sizeWithCells="1">
              <from>
                <xdr:col>1</xdr:col>
                <xdr:colOff>0</xdr:colOff>
                <xdr:row>14</xdr:row>
                <xdr:rowOff>47625</xdr:rowOff>
              </from>
              <to>
                <xdr:col>5</xdr:col>
                <xdr:colOff>552450</xdr:colOff>
                <xdr:row>16</xdr:row>
                <xdr:rowOff>209550</xdr:rowOff>
              </to>
            </anchor>
          </objectPr>
        </oleObject>
      </mc:Choice>
      <mc:Fallback>
        <oleObject progId="Equation.3" shapeId="20484" r:id="rId9"/>
      </mc:Fallback>
    </mc:AlternateContent>
    <mc:AlternateContent xmlns:mc="http://schemas.openxmlformats.org/markup-compatibility/2006">
      <mc:Choice Requires="x14">
        <oleObject progId="Equation.3" shapeId="20485" r:id="rId11">
          <objectPr defaultSize="0" autoPict="0" r:id="rId12">
            <anchor moveWithCells="1" sizeWithCells="1">
              <from>
                <xdr:col>3</xdr:col>
                <xdr:colOff>123825</xdr:colOff>
                <xdr:row>18</xdr:row>
                <xdr:rowOff>47625</xdr:rowOff>
              </from>
              <to>
                <xdr:col>5</xdr:col>
                <xdr:colOff>581025</xdr:colOff>
                <xdr:row>21</xdr:row>
                <xdr:rowOff>9525</xdr:rowOff>
              </to>
            </anchor>
          </objectPr>
        </oleObject>
      </mc:Choice>
      <mc:Fallback>
        <oleObject progId="Equation.3" shapeId="20485" r:id="rId11"/>
      </mc:Fallback>
    </mc:AlternateContent>
    <mc:AlternateContent xmlns:mc="http://schemas.openxmlformats.org/markup-compatibility/2006">
      <mc:Choice Requires="x14">
        <oleObject progId="Equation.3" shapeId="20486" r:id="rId13">
          <objectPr defaultSize="0" autoPict="0" r:id="rId14">
            <anchor moveWithCells="1" sizeWithCells="1">
              <from>
                <xdr:col>3</xdr:col>
                <xdr:colOff>152400</xdr:colOff>
                <xdr:row>21</xdr:row>
                <xdr:rowOff>0</xdr:rowOff>
              </from>
              <to>
                <xdr:col>6</xdr:col>
                <xdr:colOff>9525</xdr:colOff>
                <xdr:row>23</xdr:row>
                <xdr:rowOff>219075</xdr:rowOff>
              </to>
            </anchor>
          </objectPr>
        </oleObject>
      </mc:Choice>
      <mc:Fallback>
        <oleObject progId="Equation.3" shapeId="20486" r:id="rId13"/>
      </mc:Fallback>
    </mc:AlternateContent>
  </oleObjec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11"/>
  <sheetViews>
    <sheetView workbookViewId="0">
      <selection activeCell="I22" sqref="I22"/>
    </sheetView>
  </sheetViews>
  <sheetFormatPr defaultRowHeight="23.25" x14ac:dyDescent="0.35"/>
  <cols>
    <col min="1" max="2" width="9.140625" style="117"/>
    <col min="3" max="3" width="13.28515625" style="117" customWidth="1"/>
    <col min="4" max="4" width="9.140625" style="117"/>
    <col min="5" max="5" width="10.7109375" style="117" bestFit="1" customWidth="1"/>
    <col min="6" max="16384" width="9.140625" style="117"/>
  </cols>
  <sheetData>
    <row r="2" spans="1:9" x14ac:dyDescent="0.35">
      <c r="A2" s="116"/>
      <c r="B2" s="119" t="s">
        <v>169</v>
      </c>
      <c r="C2" s="119"/>
      <c r="D2" s="119"/>
      <c r="E2" s="119"/>
      <c r="F2" s="119"/>
      <c r="G2" s="119"/>
      <c r="H2" s="119"/>
      <c r="I2" s="119"/>
    </row>
    <row r="3" spans="1:9" x14ac:dyDescent="0.35">
      <c r="A3" s="116"/>
      <c r="B3" s="118"/>
      <c r="C3" s="118"/>
      <c r="D3" s="118"/>
      <c r="E3" s="118"/>
      <c r="F3" s="118"/>
      <c r="G3" s="118"/>
      <c r="H3" s="118"/>
      <c r="I3" s="118"/>
    </row>
    <row r="4" spans="1:9" x14ac:dyDescent="0.35">
      <c r="A4" s="116"/>
      <c r="B4" s="121" t="s">
        <v>171</v>
      </c>
      <c r="C4" s="122">
        <v>1</v>
      </c>
      <c r="D4" s="119" t="s">
        <v>170</v>
      </c>
      <c r="E4" s="123">
        <f>-0.5+NORMSDIST(C4)</f>
        <v>0.34134474606854304</v>
      </c>
      <c r="F4" s="118"/>
      <c r="G4" s="120"/>
      <c r="H4" s="118"/>
      <c r="I4" s="118"/>
    </row>
    <row r="5" spans="1:9" x14ac:dyDescent="0.35">
      <c r="A5" s="116"/>
      <c r="B5" s="118"/>
      <c r="C5" s="118"/>
      <c r="D5" s="118"/>
      <c r="E5" s="118"/>
      <c r="F5" s="116"/>
      <c r="G5" s="118"/>
      <c r="H5" s="118"/>
      <c r="I5" s="118"/>
    </row>
    <row r="6" spans="1:9" x14ac:dyDescent="0.35">
      <c r="A6" s="116"/>
      <c r="B6" s="118"/>
      <c r="C6" s="118"/>
      <c r="D6" s="118"/>
      <c r="E6" s="118"/>
      <c r="F6" s="118"/>
      <c r="G6" s="118"/>
      <c r="H6" s="118"/>
      <c r="I6" s="118"/>
    </row>
    <row r="7" spans="1:9" x14ac:dyDescent="0.35">
      <c r="A7" s="116"/>
      <c r="B7" s="119" t="s">
        <v>172</v>
      </c>
      <c r="C7" s="119"/>
      <c r="D7" s="119"/>
      <c r="E7" s="119"/>
      <c r="F7" s="119"/>
      <c r="G7" s="119"/>
      <c r="H7" s="119"/>
      <c r="I7" s="119"/>
    </row>
    <row r="8" spans="1:9" x14ac:dyDescent="0.35">
      <c r="A8" s="116"/>
      <c r="B8" s="118"/>
      <c r="C8" s="118"/>
      <c r="D8" s="118"/>
      <c r="E8" s="118"/>
      <c r="F8" s="116"/>
      <c r="G8" s="118"/>
      <c r="H8" s="118"/>
      <c r="I8" s="118"/>
    </row>
    <row r="9" spans="1:9" x14ac:dyDescent="0.35">
      <c r="A9" s="116"/>
      <c r="B9" s="119" t="s">
        <v>170</v>
      </c>
      <c r="C9" s="122">
        <v>0.34129999999999999</v>
      </c>
      <c r="D9" s="119"/>
      <c r="E9" s="124">
        <f>NORMSINV(C9+0.5)</f>
        <v>0.99981509361474408</v>
      </c>
      <c r="F9" s="118"/>
      <c r="G9" s="118"/>
      <c r="H9" s="116"/>
      <c r="I9" s="118"/>
    </row>
    <row r="10" spans="1:9" x14ac:dyDescent="0.35">
      <c r="A10" s="116"/>
      <c r="B10" s="118"/>
      <c r="C10" s="118"/>
      <c r="D10" s="118"/>
      <c r="E10" s="116"/>
      <c r="F10" s="118"/>
      <c r="G10" s="118"/>
      <c r="H10" s="118"/>
      <c r="I10" s="118"/>
    </row>
    <row r="11" spans="1:9" x14ac:dyDescent="0.35">
      <c r="A11" s="116"/>
      <c r="B11" s="116"/>
      <c r="C11" s="116"/>
      <c r="D11" s="116"/>
      <c r="E11" s="116"/>
      <c r="F11" s="116"/>
      <c r="G11" s="116"/>
      <c r="H11" s="116"/>
      <c r="I11" s="116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21506" r:id="rId3">
          <objectPr defaultSize="0" autoPict="0" r:id="rId4">
            <anchor moveWithCells="1" sizeWithCells="1">
              <from>
                <xdr:col>7</xdr:col>
                <xdr:colOff>95250</xdr:colOff>
                <xdr:row>1</xdr:row>
                <xdr:rowOff>200025</xdr:rowOff>
              </from>
              <to>
                <xdr:col>10</xdr:col>
                <xdr:colOff>295275</xdr:colOff>
                <xdr:row>5</xdr:row>
                <xdr:rowOff>0</xdr:rowOff>
              </to>
            </anchor>
          </objectPr>
        </oleObject>
      </mc:Choice>
      <mc:Fallback>
        <oleObject progId="Equation.3" shapeId="21506" r:id="rId3"/>
      </mc:Fallback>
    </mc:AlternateContent>
    <mc:AlternateContent xmlns:mc="http://schemas.openxmlformats.org/markup-compatibility/2006">
      <mc:Choice Requires="x14">
        <oleObject progId="Equation.3" shapeId="21511" r:id="rId5">
          <objectPr defaultSize="0" autoPict="0" r:id="rId6">
            <anchor moveWithCells="1" sizeWithCells="1">
              <from>
                <xdr:col>3</xdr:col>
                <xdr:colOff>342900</xdr:colOff>
                <xdr:row>8</xdr:row>
                <xdr:rowOff>47625</xdr:rowOff>
              </from>
              <to>
                <xdr:col>3</xdr:col>
                <xdr:colOff>581025</xdr:colOff>
                <xdr:row>9</xdr:row>
                <xdr:rowOff>0</xdr:rowOff>
              </to>
            </anchor>
          </objectPr>
        </oleObject>
      </mc:Choice>
      <mc:Fallback>
        <oleObject progId="Equation.3" shapeId="21511" r:id="rId5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>
      <selection activeCell="G6" sqref="G6"/>
    </sheetView>
  </sheetViews>
  <sheetFormatPr defaultRowHeight="18.75" x14ac:dyDescent="0.3"/>
  <cols>
    <col min="1" max="1" width="9.140625" style="17"/>
    <col min="2" max="2" width="15.140625" style="17" customWidth="1"/>
    <col min="3" max="4" width="9.140625" style="17"/>
    <col min="5" max="5" width="10.42578125" style="17" customWidth="1"/>
    <col min="6" max="6" width="14.28515625" style="17" customWidth="1"/>
    <col min="7" max="7" width="9.140625" style="17"/>
    <col min="8" max="8" width="21.85546875" style="17" customWidth="1"/>
    <col min="9" max="9" width="12.28515625" style="17" customWidth="1"/>
    <col min="10" max="16384" width="9.140625" style="17"/>
  </cols>
  <sheetData>
    <row r="2" spans="1:9" x14ac:dyDescent="0.3">
      <c r="A2" s="53" t="s">
        <v>58</v>
      </c>
      <c r="B2" s="53" t="s">
        <v>59</v>
      </c>
      <c r="C2" s="53" t="s">
        <v>60</v>
      </c>
      <c r="D2" s="53" t="s">
        <v>61</v>
      </c>
      <c r="E2" s="53" t="s">
        <v>62</v>
      </c>
      <c r="F2" s="53" t="s">
        <v>63</v>
      </c>
      <c r="G2" s="53" t="s">
        <v>64</v>
      </c>
      <c r="H2" s="53" t="s">
        <v>178</v>
      </c>
      <c r="I2" s="53" t="s">
        <v>179</v>
      </c>
    </row>
    <row r="3" spans="1:9" ht="27" x14ac:dyDescent="0.35">
      <c r="A3" s="53">
        <v>3</v>
      </c>
      <c r="B3" s="127" t="s">
        <v>174</v>
      </c>
    </row>
    <row r="4" spans="1:9" x14ac:dyDescent="0.3">
      <c r="A4" s="53">
        <v>4</v>
      </c>
    </row>
    <row r="5" spans="1:9" ht="25.5" x14ac:dyDescent="0.35">
      <c r="A5" s="53">
        <v>5</v>
      </c>
      <c r="B5" s="128" t="s">
        <v>176</v>
      </c>
      <c r="G5" s="106">
        <v>3</v>
      </c>
      <c r="H5" s="129" t="s">
        <v>177</v>
      </c>
      <c r="I5" s="49">
        <v>0.05</v>
      </c>
    </row>
    <row r="6" spans="1:9" x14ac:dyDescent="0.3">
      <c r="A6" s="53">
        <v>6</v>
      </c>
    </row>
    <row r="7" spans="1:9" x14ac:dyDescent="0.3">
      <c r="A7" s="53">
        <v>7</v>
      </c>
      <c r="B7" s="17" t="s">
        <v>173</v>
      </c>
    </row>
    <row r="8" spans="1:9" ht="34.5" x14ac:dyDescent="0.6">
      <c r="A8" s="53">
        <v>8</v>
      </c>
      <c r="B8" s="130" t="s">
        <v>175</v>
      </c>
      <c r="F8" s="132">
        <f>CHIINV(I5,G5)</f>
        <v>7.8147279032511792</v>
      </c>
    </row>
    <row r="9" spans="1:9" x14ac:dyDescent="0.3">
      <c r="A9" s="53">
        <v>9</v>
      </c>
    </row>
    <row r="10" spans="1:9" x14ac:dyDescent="0.3">
      <c r="A10" s="53">
        <v>10</v>
      </c>
    </row>
    <row r="11" spans="1:9" x14ac:dyDescent="0.3">
      <c r="A11" s="53">
        <v>11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51"/>
  <sheetViews>
    <sheetView topLeftCell="A26" workbookViewId="0">
      <selection activeCell="A27" sqref="A27:H52"/>
    </sheetView>
  </sheetViews>
  <sheetFormatPr defaultRowHeight="15" x14ac:dyDescent="0.25"/>
  <cols>
    <col min="1" max="1" width="9.140625" style="125"/>
    <col min="2" max="2" width="14" style="125" bestFit="1" customWidth="1"/>
    <col min="3" max="3" width="9.140625" style="125"/>
    <col min="4" max="4" width="14.28515625" style="125" customWidth="1"/>
    <col min="5" max="5" width="15.7109375" style="125" bestFit="1" customWidth="1"/>
    <col min="6" max="6" width="11.5703125" style="125" bestFit="1" customWidth="1"/>
    <col min="7" max="7" width="5" style="125" customWidth="1"/>
    <col min="8" max="8" width="19.7109375" style="125" customWidth="1"/>
    <col min="9" max="16384" width="9.140625" style="125"/>
  </cols>
  <sheetData>
    <row r="2" spans="2:6" ht="24" x14ac:dyDescent="0.4">
      <c r="B2" s="10" t="s">
        <v>12</v>
      </c>
      <c r="C2" s="34" t="s">
        <v>151</v>
      </c>
      <c r="D2" s="34" t="s">
        <v>90</v>
      </c>
      <c r="E2" s="34" t="s">
        <v>91</v>
      </c>
      <c r="F2" s="34" t="s">
        <v>152</v>
      </c>
    </row>
    <row r="3" spans="2:6" ht="18.75" x14ac:dyDescent="0.3">
      <c r="B3" s="104" t="s">
        <v>180</v>
      </c>
      <c r="C3" s="103">
        <v>9</v>
      </c>
      <c r="D3" s="103">
        <v>2</v>
      </c>
      <c r="E3" s="10">
        <f t="shared" ref="E3:E11" si="0">C3*D3</f>
        <v>18</v>
      </c>
      <c r="F3" s="10">
        <f t="shared" ref="F3:F11" si="1">C3*C3*D3</f>
        <v>162</v>
      </c>
    </row>
    <row r="4" spans="2:6" ht="18.75" x14ac:dyDescent="0.3">
      <c r="B4" s="104" t="s">
        <v>181</v>
      </c>
      <c r="C4" s="103">
        <v>12</v>
      </c>
      <c r="D4" s="103">
        <v>6</v>
      </c>
      <c r="E4" s="10">
        <f t="shared" si="0"/>
        <v>72</v>
      </c>
      <c r="F4" s="10">
        <f t="shared" si="1"/>
        <v>864</v>
      </c>
    </row>
    <row r="5" spans="2:6" ht="18.75" x14ac:dyDescent="0.3">
      <c r="B5" s="104" t="s">
        <v>182</v>
      </c>
      <c r="C5" s="103">
        <v>15</v>
      </c>
      <c r="D5" s="103">
        <v>10</v>
      </c>
      <c r="E5" s="10">
        <f t="shared" si="0"/>
        <v>150</v>
      </c>
      <c r="F5" s="10">
        <f t="shared" si="1"/>
        <v>2250</v>
      </c>
    </row>
    <row r="6" spans="2:6" ht="18.75" x14ac:dyDescent="0.3">
      <c r="B6" s="104" t="s">
        <v>183</v>
      </c>
      <c r="C6" s="103">
        <v>18</v>
      </c>
      <c r="D6" s="103">
        <v>17</v>
      </c>
      <c r="E6" s="10">
        <f t="shared" si="0"/>
        <v>306</v>
      </c>
      <c r="F6" s="10">
        <f t="shared" si="1"/>
        <v>5508</v>
      </c>
    </row>
    <row r="7" spans="2:6" ht="18.75" x14ac:dyDescent="0.3">
      <c r="B7" s="104" t="s">
        <v>184</v>
      </c>
      <c r="C7" s="103">
        <v>21</v>
      </c>
      <c r="D7" s="103">
        <v>33</v>
      </c>
      <c r="E7" s="10">
        <f t="shared" si="0"/>
        <v>693</v>
      </c>
      <c r="F7" s="10">
        <f t="shared" si="1"/>
        <v>14553</v>
      </c>
    </row>
    <row r="8" spans="2:6" ht="18.75" x14ac:dyDescent="0.3">
      <c r="B8" s="104" t="s">
        <v>185</v>
      </c>
      <c r="C8" s="103">
        <v>24</v>
      </c>
      <c r="D8" s="103">
        <v>11</v>
      </c>
      <c r="E8" s="10">
        <f t="shared" si="0"/>
        <v>264</v>
      </c>
      <c r="F8" s="10">
        <f t="shared" si="1"/>
        <v>6336</v>
      </c>
    </row>
    <row r="9" spans="2:6" ht="18.75" x14ac:dyDescent="0.3">
      <c r="B9" s="104" t="s">
        <v>186</v>
      </c>
      <c r="C9" s="103">
        <v>27</v>
      </c>
      <c r="D9" s="103">
        <v>9</v>
      </c>
      <c r="E9" s="10">
        <f t="shared" si="0"/>
        <v>243</v>
      </c>
      <c r="F9" s="10">
        <f t="shared" si="1"/>
        <v>6561</v>
      </c>
    </row>
    <row r="10" spans="2:6" ht="18.75" x14ac:dyDescent="0.3">
      <c r="B10" s="104" t="s">
        <v>187</v>
      </c>
      <c r="C10" s="103">
        <v>30</v>
      </c>
      <c r="D10" s="103">
        <v>7</v>
      </c>
      <c r="E10" s="10">
        <f t="shared" si="0"/>
        <v>210</v>
      </c>
      <c r="F10" s="10">
        <f t="shared" si="1"/>
        <v>6300</v>
      </c>
    </row>
    <row r="11" spans="2:6" ht="18.75" x14ac:dyDescent="0.3">
      <c r="B11" s="104" t="s">
        <v>188</v>
      </c>
      <c r="C11" s="103">
        <v>33</v>
      </c>
      <c r="D11" s="103">
        <v>5</v>
      </c>
      <c r="E11" s="10">
        <f t="shared" si="0"/>
        <v>165</v>
      </c>
      <c r="F11" s="10">
        <f t="shared" si="1"/>
        <v>5445</v>
      </c>
    </row>
    <row r="12" spans="2:6" ht="26.25" x14ac:dyDescent="0.4">
      <c r="B12" s="102" t="s">
        <v>199</v>
      </c>
      <c r="C12" s="105"/>
      <c r="D12" s="105">
        <f>SUM(D3:D11)</f>
        <v>100</v>
      </c>
      <c r="E12" s="105">
        <f>SUM(E3:E11)</f>
        <v>2121</v>
      </c>
      <c r="F12" s="105">
        <f>SUM(F3:F11)</f>
        <v>47979</v>
      </c>
    </row>
    <row r="14" spans="2:6" ht="18.75" x14ac:dyDescent="0.3">
      <c r="C14" s="133" t="s">
        <v>189</v>
      </c>
    </row>
    <row r="18" spans="1:8" ht="26.25" x14ac:dyDescent="0.4">
      <c r="E18" s="134">
        <f>E12/D12</f>
        <v>21.21</v>
      </c>
      <c r="F18" s="131" t="s">
        <v>192</v>
      </c>
    </row>
    <row r="20" spans="1:8" ht="18.75" x14ac:dyDescent="0.3">
      <c r="B20" s="126" t="s">
        <v>190</v>
      </c>
    </row>
    <row r="24" spans="1:8" ht="25.5" x14ac:dyDescent="0.35">
      <c r="E24" s="134">
        <f>F12/D12-E18^2</f>
        <v>29.925899999999956</v>
      </c>
    </row>
    <row r="26" spans="1:8" ht="26.25" customHeight="1" x14ac:dyDescent="0.4">
      <c r="C26" s="135" t="s">
        <v>191</v>
      </c>
      <c r="D26" s="140"/>
      <c r="E26" s="134">
        <f>E24^0.5</f>
        <v>5.4704570192992064</v>
      </c>
      <c r="F26" s="131" t="s">
        <v>192</v>
      </c>
    </row>
    <row r="27" spans="1:8" ht="26.25" customHeight="1" x14ac:dyDescent="0.25">
      <c r="A27" s="144" t="s">
        <v>58</v>
      </c>
      <c r="B27" s="144" t="s">
        <v>59</v>
      </c>
      <c r="C27" s="144" t="s">
        <v>60</v>
      </c>
      <c r="D27" s="144" t="s">
        <v>61</v>
      </c>
      <c r="E27" s="144" t="s">
        <v>62</v>
      </c>
      <c r="F27" s="144" t="s">
        <v>63</v>
      </c>
      <c r="G27" s="143" t="s">
        <v>64</v>
      </c>
      <c r="H27" s="143" t="s">
        <v>178</v>
      </c>
    </row>
    <row r="28" spans="1:8" ht="25.5" x14ac:dyDescent="0.35">
      <c r="A28" s="136">
        <v>28</v>
      </c>
      <c r="B28" s="54" t="s">
        <v>193</v>
      </c>
    </row>
    <row r="29" spans="1:8" ht="20.25" x14ac:dyDescent="0.3">
      <c r="A29" s="136">
        <v>29</v>
      </c>
      <c r="E29" s="141" t="s">
        <v>200</v>
      </c>
      <c r="F29" s="142">
        <v>100</v>
      </c>
    </row>
    <row r="30" spans="1:8" ht="20.25" x14ac:dyDescent="0.3">
      <c r="A30" s="136">
        <v>30</v>
      </c>
      <c r="E30" s="141" t="s">
        <v>201</v>
      </c>
      <c r="F30" s="142">
        <v>3</v>
      </c>
    </row>
    <row r="31" spans="1:8" x14ac:dyDescent="0.25">
      <c r="A31" s="136">
        <v>31</v>
      </c>
    </row>
    <row r="32" spans="1:8" x14ac:dyDescent="0.25">
      <c r="A32" s="136">
        <v>32</v>
      </c>
    </row>
    <row r="33" spans="1:8" ht="20.25" x14ac:dyDescent="0.3">
      <c r="A33" s="136">
        <v>33</v>
      </c>
      <c r="B33" s="137" t="s">
        <v>194</v>
      </c>
    </row>
    <row r="34" spans="1:8" x14ac:dyDescent="0.25">
      <c r="A34" s="136">
        <v>34</v>
      </c>
    </row>
    <row r="35" spans="1:8" x14ac:dyDescent="0.25">
      <c r="A35" s="136">
        <v>35</v>
      </c>
    </row>
    <row r="36" spans="1:8" x14ac:dyDescent="0.25">
      <c r="A36" s="136">
        <v>36</v>
      </c>
    </row>
    <row r="37" spans="1:8" x14ac:dyDescent="0.25">
      <c r="A37" s="136">
        <v>37</v>
      </c>
    </row>
    <row r="38" spans="1:8" ht="54" customHeight="1" x14ac:dyDescent="0.55000000000000004">
      <c r="A38" s="136">
        <v>38</v>
      </c>
      <c r="B38" s="138" t="s">
        <v>39</v>
      </c>
      <c r="C38" s="138" t="s">
        <v>195</v>
      </c>
      <c r="D38" s="138" t="s">
        <v>196</v>
      </c>
      <c r="E38" s="138" t="s">
        <v>197</v>
      </c>
      <c r="F38" s="138" t="s">
        <v>198</v>
      </c>
      <c r="H38" s="22"/>
    </row>
    <row r="39" spans="1:8" ht="18.75" x14ac:dyDescent="0.3">
      <c r="A39" s="136">
        <v>39</v>
      </c>
      <c r="B39" s="103">
        <v>9</v>
      </c>
      <c r="C39" s="103">
        <v>2</v>
      </c>
      <c r="D39" s="10">
        <f>(B39-$B$49)/$B$51</f>
        <v>-2.2321755027422308</v>
      </c>
      <c r="E39" s="10">
        <f>_xlfn.NORM.S.DIST(D39,0)</f>
        <v>3.3033196429886065E-2</v>
      </c>
      <c r="F39" s="10">
        <f>$F$30*$F$29/$B$51*E39</f>
        <v>1.8116926743996014</v>
      </c>
      <c r="H39" s="10">
        <f>(C39-F39)^2/F39</f>
        <v>1.9572662281987726E-2</v>
      </c>
    </row>
    <row r="40" spans="1:8" ht="18.75" x14ac:dyDescent="0.3">
      <c r="A40" s="136">
        <v>40</v>
      </c>
      <c r="B40" s="103">
        <v>12</v>
      </c>
      <c r="C40" s="103">
        <v>6</v>
      </c>
      <c r="D40" s="10">
        <f t="shared" ref="D40:D47" si="2">(B40-$B$49)/$B$51</f>
        <v>-1.6837294332723951</v>
      </c>
      <c r="E40" s="10">
        <f t="shared" ref="E40:E47" si="3">_xlfn.NORM.S.DIST(D40,0)</f>
        <v>9.6673985502727405E-2</v>
      </c>
      <c r="F40" s="10">
        <f t="shared" ref="F40:F47" si="4">$F$30*$F$29/$B$51*E40</f>
        <v>5.3020467368954698</v>
      </c>
      <c r="H40" s="10">
        <f t="shared" ref="H40:H47" si="5">(C40-F40)^2/F40</f>
        <v>9.1877492155698737E-2</v>
      </c>
    </row>
    <row r="41" spans="1:8" ht="18.75" x14ac:dyDescent="0.3">
      <c r="A41" s="136">
        <v>41</v>
      </c>
      <c r="B41" s="103">
        <v>15</v>
      </c>
      <c r="C41" s="103">
        <v>10</v>
      </c>
      <c r="D41" s="10">
        <f t="shared" si="2"/>
        <v>-1.1352833638025597</v>
      </c>
      <c r="E41" s="10">
        <f t="shared" si="3"/>
        <v>0.20942854091959598</v>
      </c>
      <c r="F41" s="10">
        <f t="shared" si="4"/>
        <v>11.486026010215502</v>
      </c>
      <c r="H41" s="10">
        <f t="shared" si="5"/>
        <v>0.19225738310822194</v>
      </c>
    </row>
    <row r="42" spans="1:8" ht="18.75" x14ac:dyDescent="0.3">
      <c r="A42" s="136">
        <v>42</v>
      </c>
      <c r="B42" s="103">
        <v>18</v>
      </c>
      <c r="C42" s="103">
        <v>17</v>
      </c>
      <c r="D42" s="10">
        <f t="shared" si="2"/>
        <v>-0.58683729433272414</v>
      </c>
      <c r="E42" s="10">
        <f t="shared" si="3"/>
        <v>0.33583761040455928</v>
      </c>
      <c r="F42" s="10">
        <f t="shared" si="4"/>
        <v>18.418881740652246</v>
      </c>
      <c r="H42" s="10">
        <f t="shared" si="5"/>
        <v>0.10930225962160151</v>
      </c>
    </row>
    <row r="43" spans="1:8" ht="18.75" x14ac:dyDescent="0.3">
      <c r="A43" s="136">
        <v>43</v>
      </c>
      <c r="B43" s="103">
        <v>21</v>
      </c>
      <c r="C43" s="103">
        <v>33</v>
      </c>
      <c r="D43" s="10">
        <f t="shared" si="2"/>
        <v>-3.8391224862888637E-2</v>
      </c>
      <c r="E43" s="10">
        <f t="shared" si="3"/>
        <v>0.39864839095446641</v>
      </c>
      <c r="F43" s="10">
        <f t="shared" si="4"/>
        <v>21.863714311945142</v>
      </c>
      <c r="H43" s="10">
        <f t="shared" si="5"/>
        <v>5.6722685430544351</v>
      </c>
    </row>
    <row r="44" spans="1:8" ht="18.75" x14ac:dyDescent="0.3">
      <c r="A44" s="136">
        <v>44</v>
      </c>
      <c r="B44" s="103">
        <v>24</v>
      </c>
      <c r="C44" s="103">
        <v>11</v>
      </c>
      <c r="D44" s="10">
        <f t="shared" si="2"/>
        <v>0.51005484460694683</v>
      </c>
      <c r="E44" s="10">
        <f t="shared" si="3"/>
        <v>0.35028208027353713</v>
      </c>
      <c r="F44" s="10">
        <f t="shared" si="4"/>
        <v>19.211083013173884</v>
      </c>
      <c r="H44" s="10">
        <f t="shared" si="5"/>
        <v>3.5095306289082484</v>
      </c>
    </row>
    <row r="45" spans="1:8" ht="18.75" x14ac:dyDescent="0.3">
      <c r="A45" s="136">
        <v>45</v>
      </c>
      <c r="B45" s="103">
        <v>27</v>
      </c>
      <c r="C45" s="103">
        <v>9</v>
      </c>
      <c r="D45" s="10">
        <f t="shared" si="2"/>
        <v>1.0585009140767823</v>
      </c>
      <c r="E45" s="10">
        <f t="shared" si="3"/>
        <v>0.2278311201097683</v>
      </c>
      <c r="F45" s="10">
        <f t="shared" si="4"/>
        <v>12.495308232711242</v>
      </c>
      <c r="H45" s="10">
        <f t="shared" si="5"/>
        <v>0.97774135812639273</v>
      </c>
    </row>
    <row r="46" spans="1:8" ht="18.75" x14ac:dyDescent="0.3">
      <c r="A46" s="136">
        <v>46</v>
      </c>
      <c r="B46" s="103">
        <v>30</v>
      </c>
      <c r="C46" s="103">
        <v>7</v>
      </c>
      <c r="D46" s="10">
        <f t="shared" si="2"/>
        <v>1.6069469835466179</v>
      </c>
      <c r="E46" s="10">
        <f t="shared" si="3"/>
        <v>0.10969211005985197</v>
      </c>
      <c r="F46" s="10">
        <f t="shared" si="4"/>
        <v>6.0160206614178406</v>
      </c>
      <c r="H46" s="10">
        <f t="shared" si="5"/>
        <v>0.160939496927924</v>
      </c>
    </row>
    <row r="47" spans="1:8" ht="18.75" x14ac:dyDescent="0.3">
      <c r="A47" s="136">
        <v>47</v>
      </c>
      <c r="B47" s="103">
        <v>33</v>
      </c>
      <c r="C47" s="103">
        <v>5</v>
      </c>
      <c r="D47" s="10">
        <f t="shared" si="2"/>
        <v>2.1553930530164531</v>
      </c>
      <c r="E47" s="10">
        <f t="shared" si="3"/>
        <v>3.9093536220888341E-2</v>
      </c>
      <c r="F47" s="10">
        <f t="shared" si="4"/>
        <v>2.1440696282022857</v>
      </c>
      <c r="H47" s="10">
        <f t="shared" si="5"/>
        <v>3.804138718850929</v>
      </c>
    </row>
    <row r="48" spans="1:8" ht="27" customHeight="1" x14ac:dyDescent="0.4">
      <c r="G48" s="131"/>
    </row>
    <row r="49" spans="2:8" ht="25.5" x14ac:dyDescent="0.35">
      <c r="B49" s="139">
        <v>21.21</v>
      </c>
    </row>
    <row r="50" spans="2:8" x14ac:dyDescent="0.25">
      <c r="F50"/>
    </row>
    <row r="51" spans="2:8" ht="25.5" x14ac:dyDescent="0.35">
      <c r="B51" s="134">
        <v>5.47</v>
      </c>
      <c r="H51" s="54">
        <f>SUM(H39:H47)</f>
        <v>14.537628543035439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4577" r:id="rId4">
          <objectPr defaultSize="0" autoPict="0" r:id="rId5">
            <anchor moveWithCells="1" sizeWithCells="1">
              <from>
                <xdr:col>0</xdr:col>
                <xdr:colOff>600075</xdr:colOff>
                <xdr:row>14</xdr:row>
                <xdr:rowOff>66675</xdr:rowOff>
              </from>
              <to>
                <xdr:col>4</xdr:col>
                <xdr:colOff>66675</xdr:colOff>
                <xdr:row>18</xdr:row>
                <xdr:rowOff>133350</xdr:rowOff>
              </to>
            </anchor>
          </objectPr>
        </oleObject>
      </mc:Choice>
      <mc:Fallback>
        <oleObject progId="Equation.3" shapeId="24577" r:id="rId4"/>
      </mc:Fallback>
    </mc:AlternateContent>
    <mc:AlternateContent xmlns:mc="http://schemas.openxmlformats.org/markup-compatibility/2006">
      <mc:Choice Requires="x14">
        <oleObject progId="Equation.3" shapeId="24578" r:id="rId6">
          <objectPr defaultSize="0" autoPict="0" r:id="rId7">
            <anchor moveWithCells="1" sizeWithCells="1">
              <from>
                <xdr:col>1</xdr:col>
                <xdr:colOff>85725</xdr:colOff>
                <xdr:row>20</xdr:row>
                <xdr:rowOff>47625</xdr:rowOff>
              </from>
              <to>
                <xdr:col>4</xdr:col>
                <xdr:colOff>85725</xdr:colOff>
                <xdr:row>24</xdr:row>
                <xdr:rowOff>180975</xdr:rowOff>
              </to>
            </anchor>
          </objectPr>
        </oleObject>
      </mc:Choice>
      <mc:Fallback>
        <oleObject progId="Equation.3" shapeId="24578" r:id="rId6"/>
      </mc:Fallback>
    </mc:AlternateContent>
    <mc:AlternateContent xmlns:mc="http://schemas.openxmlformats.org/markup-compatibility/2006">
      <mc:Choice Requires="x14">
        <oleObject progId="Equation.3" shapeId="24582" r:id="rId8">
          <objectPr defaultSize="0" autoPict="0" r:id="rId9">
            <anchor moveWithCells="1">
              <from>
                <xdr:col>0</xdr:col>
                <xdr:colOff>0</xdr:colOff>
                <xdr:row>47</xdr:row>
                <xdr:rowOff>238125</xdr:rowOff>
              </from>
              <to>
                <xdr:col>0</xdr:col>
                <xdr:colOff>600075</xdr:colOff>
                <xdr:row>49</xdr:row>
                <xdr:rowOff>19050</xdr:rowOff>
              </to>
            </anchor>
          </objectPr>
        </oleObject>
      </mc:Choice>
      <mc:Fallback>
        <oleObject progId="Equation.3" shapeId="24582" r:id="rId8"/>
      </mc:Fallback>
    </mc:AlternateContent>
    <mc:AlternateContent xmlns:mc="http://schemas.openxmlformats.org/markup-compatibility/2006">
      <mc:Choice Requires="x14">
        <oleObject progId="Equation.3" shapeId="24583" r:id="rId10">
          <objectPr defaultSize="0" autoPict="0" r:id="rId11">
            <anchor moveWithCells="1" sizeWithCells="1">
              <from>
                <xdr:col>0</xdr:col>
                <xdr:colOff>0</xdr:colOff>
                <xdr:row>49</xdr:row>
                <xdr:rowOff>95250</xdr:rowOff>
              </from>
              <to>
                <xdr:col>0</xdr:col>
                <xdr:colOff>581025</xdr:colOff>
                <xdr:row>52</xdr:row>
                <xdr:rowOff>19050</xdr:rowOff>
              </to>
            </anchor>
          </objectPr>
        </oleObject>
      </mc:Choice>
      <mc:Fallback>
        <oleObject progId="Equation.3" shapeId="24583" r:id="rId10"/>
      </mc:Fallback>
    </mc:AlternateContent>
    <mc:AlternateContent xmlns:mc="http://schemas.openxmlformats.org/markup-compatibility/2006">
      <mc:Choice Requires="x14">
        <oleObject progId="Equation.3" shapeId="24584" r:id="rId12">
          <objectPr defaultSize="0" autoPict="0" r:id="rId13">
            <anchor moveWithCells="1" sizeWithCells="1">
              <from>
                <xdr:col>7</xdr:col>
                <xdr:colOff>0</xdr:colOff>
                <xdr:row>37</xdr:row>
                <xdr:rowOff>0</xdr:rowOff>
              </from>
              <to>
                <xdr:col>7</xdr:col>
                <xdr:colOff>1209675</xdr:colOff>
                <xdr:row>37</xdr:row>
                <xdr:rowOff>657225</xdr:rowOff>
              </to>
            </anchor>
          </objectPr>
        </oleObject>
      </mc:Choice>
      <mc:Fallback>
        <oleObject progId="Equation.3" shapeId="24584" r:id="rId12"/>
      </mc:Fallback>
    </mc:AlternateContent>
    <mc:AlternateContent xmlns:mc="http://schemas.openxmlformats.org/markup-compatibility/2006">
      <mc:Choice Requires="x14">
        <oleObject progId="Equation.3" shapeId="24585" r:id="rId14">
          <objectPr defaultSize="0" autoPict="0" r:id="rId15">
            <anchor moveWithCells="1" sizeWithCells="1">
              <from>
                <xdr:col>3</xdr:col>
                <xdr:colOff>809625</xdr:colOff>
                <xdr:row>48</xdr:row>
                <xdr:rowOff>314325</xdr:rowOff>
              </from>
              <to>
                <xdr:col>7</xdr:col>
                <xdr:colOff>9525</xdr:colOff>
                <xdr:row>52</xdr:row>
                <xdr:rowOff>95250</xdr:rowOff>
              </to>
            </anchor>
          </objectPr>
        </oleObject>
      </mc:Choice>
      <mc:Fallback>
        <oleObject progId="Equation.3" shapeId="24585" r:id="rId14"/>
      </mc:Fallback>
    </mc:AlternateContent>
  </oleObjec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9"/>
  <sheetViews>
    <sheetView workbookViewId="0">
      <selection activeCell="G18" sqref="G18"/>
    </sheetView>
  </sheetViews>
  <sheetFormatPr defaultRowHeight="18.75" x14ac:dyDescent="0.3"/>
  <cols>
    <col min="1" max="3" width="9.140625" style="17"/>
    <col min="4" max="4" width="11.5703125" style="17" bestFit="1" customWidth="1"/>
    <col min="5" max="5" width="9.140625" style="17"/>
    <col min="6" max="6" width="8.7109375" style="17" customWidth="1"/>
    <col min="7" max="7" width="16.28515625" style="17" bestFit="1" customWidth="1"/>
    <col min="8" max="8" width="9.85546875" style="17" bestFit="1" customWidth="1"/>
    <col min="9" max="16384" width="9.140625" style="17"/>
  </cols>
  <sheetData>
    <row r="1" spans="1:7" x14ac:dyDescent="0.3">
      <c r="A1" s="53" t="s">
        <v>58</v>
      </c>
      <c r="B1" s="53" t="s">
        <v>59</v>
      </c>
      <c r="C1" s="53" t="s">
        <v>60</v>
      </c>
      <c r="D1" s="53" t="s">
        <v>61</v>
      </c>
      <c r="E1" s="53" t="s">
        <v>62</v>
      </c>
      <c r="F1" s="53" t="s">
        <v>63</v>
      </c>
      <c r="G1" s="53" t="s">
        <v>64</v>
      </c>
    </row>
    <row r="2" spans="1:7" ht="43.5" customHeight="1" x14ac:dyDescent="0.55000000000000004">
      <c r="A2" s="53">
        <v>2</v>
      </c>
      <c r="B2" s="138" t="s">
        <v>39</v>
      </c>
      <c r="C2" s="138" t="s">
        <v>195</v>
      </c>
      <c r="D2" s="138" t="s">
        <v>202</v>
      </c>
      <c r="E2" s="138" t="s">
        <v>203</v>
      </c>
      <c r="F2" s="138" t="s">
        <v>198</v>
      </c>
      <c r="G2" s="10"/>
    </row>
    <row r="3" spans="1:7" x14ac:dyDescent="0.3">
      <c r="A3" s="53">
        <v>3</v>
      </c>
      <c r="B3" s="10">
        <v>0</v>
      </c>
      <c r="C3" s="10">
        <v>270</v>
      </c>
      <c r="D3" s="10">
        <f t="shared" ref="D3:D8" si="0">B3*C3</f>
        <v>0</v>
      </c>
      <c r="E3" s="10">
        <f t="shared" ref="E3:E8" si="1">$D$11^B3*EXP(-$D$11)/FACT(B3)</f>
        <v>0.53152768187871791</v>
      </c>
      <c r="F3" s="10">
        <f t="shared" ref="F3:F8" si="2">E3*$C$9</f>
        <v>265.76384093935894</v>
      </c>
      <c r="G3" s="10">
        <f t="shared" ref="G3:G8" si="3">(C3-F3)^2/F3</f>
        <v>6.7522517448662098E-2</v>
      </c>
    </row>
    <row r="4" spans="1:7" x14ac:dyDescent="0.3">
      <c r="A4" s="53">
        <v>4</v>
      </c>
      <c r="B4" s="10">
        <v>1</v>
      </c>
      <c r="C4" s="10">
        <v>166</v>
      </c>
      <c r="D4" s="10">
        <f t="shared" si="0"/>
        <v>166</v>
      </c>
      <c r="E4" s="10">
        <f t="shared" si="1"/>
        <v>0.33592549494734975</v>
      </c>
      <c r="F4" s="10">
        <f t="shared" si="2"/>
        <v>167.96274747367488</v>
      </c>
      <c r="G4" s="10">
        <f t="shared" si="3"/>
        <v>2.2935905153736055E-2</v>
      </c>
    </row>
    <row r="5" spans="1:7" x14ac:dyDescent="0.3">
      <c r="A5" s="53">
        <v>5</v>
      </c>
      <c r="B5" s="10">
        <v>2</v>
      </c>
      <c r="C5" s="10">
        <v>49</v>
      </c>
      <c r="D5" s="10">
        <f t="shared" si="0"/>
        <v>98</v>
      </c>
      <c r="E5" s="10">
        <f t="shared" si="1"/>
        <v>0.10615245640336252</v>
      </c>
      <c r="F5" s="10">
        <f t="shared" si="2"/>
        <v>53.076228201681261</v>
      </c>
      <c r="G5" s="10">
        <f t="shared" si="3"/>
        <v>0.31305231956281548</v>
      </c>
    </row>
    <row r="6" spans="1:7" x14ac:dyDescent="0.3">
      <c r="A6" s="53">
        <v>6</v>
      </c>
      <c r="B6" s="10">
        <v>3</v>
      </c>
      <c r="C6" s="10">
        <v>10</v>
      </c>
      <c r="D6" s="10">
        <f t="shared" si="0"/>
        <v>30</v>
      </c>
      <c r="E6" s="10">
        <f t="shared" si="1"/>
        <v>2.2362784148975037E-2</v>
      </c>
      <c r="F6" s="10">
        <f t="shared" si="2"/>
        <v>11.181392074487519</v>
      </c>
      <c r="G6" s="10">
        <f t="shared" si="3"/>
        <v>0.12482231410581252</v>
      </c>
    </row>
    <row r="7" spans="1:7" x14ac:dyDescent="0.3">
      <c r="A7" s="53">
        <v>7</v>
      </c>
      <c r="B7" s="10">
        <v>4</v>
      </c>
      <c r="C7" s="10">
        <v>3</v>
      </c>
      <c r="D7" s="10">
        <f t="shared" si="0"/>
        <v>12</v>
      </c>
      <c r="E7" s="10">
        <f t="shared" si="1"/>
        <v>3.5333198955380556E-3</v>
      </c>
      <c r="F7" s="10">
        <f t="shared" si="2"/>
        <v>1.7666599477690279</v>
      </c>
      <c r="G7" s="10">
        <f t="shared" si="3"/>
        <v>0.8610189450199548</v>
      </c>
    </row>
    <row r="8" spans="1:7" x14ac:dyDescent="0.3">
      <c r="A8" s="53">
        <v>8</v>
      </c>
      <c r="B8" s="10">
        <v>5</v>
      </c>
      <c r="C8" s="10">
        <v>2</v>
      </c>
      <c r="D8" s="10">
        <f t="shared" si="0"/>
        <v>10</v>
      </c>
      <c r="E8" s="10">
        <f t="shared" si="1"/>
        <v>4.4661163479601027E-4</v>
      </c>
      <c r="F8" s="10">
        <f t="shared" si="2"/>
        <v>0.22330581739800515</v>
      </c>
      <c r="G8" s="10">
        <f t="shared" si="3"/>
        <v>14.135960519405483</v>
      </c>
    </row>
    <row r="9" spans="1:7" ht="26.25" x14ac:dyDescent="0.4">
      <c r="A9" s="53">
        <v>9</v>
      </c>
      <c r="B9" s="145" t="s">
        <v>150</v>
      </c>
      <c r="C9" s="10">
        <f>SUM(C3:C8)</f>
        <v>500</v>
      </c>
      <c r="D9" s="10">
        <f>SUM(D3:D8)</f>
        <v>316</v>
      </c>
      <c r="E9" s="10"/>
    </row>
    <row r="10" spans="1:7" x14ac:dyDescent="0.3">
      <c r="A10" s="53">
        <v>10</v>
      </c>
    </row>
    <row r="11" spans="1:7" ht="25.5" x14ac:dyDescent="0.35">
      <c r="A11" s="53">
        <v>11</v>
      </c>
      <c r="B11"/>
      <c r="D11" s="134">
        <f>D9/C9</f>
        <v>0.63200000000000001</v>
      </c>
    </row>
    <row r="12" spans="1:7" ht="25.5" x14ac:dyDescent="0.35">
      <c r="A12" s="53">
        <v>12</v>
      </c>
      <c r="E12"/>
      <c r="G12" s="115">
        <f>SUM(G3:G8)</f>
        <v>15.525312520696463</v>
      </c>
    </row>
    <row r="13" spans="1:7" x14ac:dyDescent="0.3">
      <c r="A13" s="53">
        <v>13</v>
      </c>
    </row>
    <row r="14" spans="1:7" x14ac:dyDescent="0.3">
      <c r="A14" s="53">
        <v>14</v>
      </c>
    </row>
    <row r="15" spans="1:7" x14ac:dyDescent="0.3">
      <c r="A15" s="53">
        <v>15</v>
      </c>
    </row>
    <row r="16" spans="1:7" x14ac:dyDescent="0.3">
      <c r="A16" s="53">
        <v>16</v>
      </c>
    </row>
    <row r="17" spans="1:2" x14ac:dyDescent="0.3">
      <c r="A17" s="53">
        <v>17</v>
      </c>
    </row>
    <row r="18" spans="1:2" x14ac:dyDescent="0.3">
      <c r="A18" s="53">
        <v>18</v>
      </c>
      <c r="B18"/>
    </row>
    <row r="19" spans="1:2" x14ac:dyDescent="0.3">
      <c r="A19" s="53">
        <v>19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25601" r:id="rId4">
          <objectPr defaultSize="0" autoPict="0" r:id="rId5">
            <anchor moveWithCells="1" sizeWithCells="1">
              <from>
                <xdr:col>1</xdr:col>
                <xdr:colOff>304800</xdr:colOff>
                <xdr:row>9</xdr:row>
                <xdr:rowOff>114300</xdr:rowOff>
              </from>
              <to>
                <xdr:col>3</xdr:col>
                <xdr:colOff>57150</xdr:colOff>
                <xdr:row>11</xdr:row>
                <xdr:rowOff>47625</xdr:rowOff>
              </to>
            </anchor>
          </objectPr>
        </oleObject>
      </mc:Choice>
      <mc:Fallback>
        <oleObject progId="Equation.3" shapeId="25601" r:id="rId4"/>
      </mc:Fallback>
    </mc:AlternateContent>
    <mc:AlternateContent xmlns:mc="http://schemas.openxmlformats.org/markup-compatibility/2006">
      <mc:Choice Requires="x14">
        <oleObject progId="Equation.3" shapeId="25604" r:id="rId6">
          <objectPr defaultSize="0" autoPict="0" r:id="rId7">
            <anchor moveWithCells="1">
              <from>
                <xdr:col>5</xdr:col>
                <xdr:colOff>581025</xdr:colOff>
                <xdr:row>1</xdr:row>
                <xdr:rowOff>38100</xdr:rowOff>
              </from>
              <to>
                <xdr:col>6</xdr:col>
                <xdr:colOff>990600</xdr:colOff>
                <xdr:row>1</xdr:row>
                <xdr:rowOff>542925</xdr:rowOff>
              </to>
            </anchor>
          </objectPr>
        </oleObject>
      </mc:Choice>
      <mc:Fallback>
        <oleObject progId="Equation.3" shapeId="25604" r:id="rId6"/>
      </mc:Fallback>
    </mc:AlternateContent>
    <mc:AlternateContent xmlns:mc="http://schemas.openxmlformats.org/markup-compatibility/2006">
      <mc:Choice Requires="x14">
        <oleObject progId="Equation.3" shapeId="25605" r:id="rId8">
          <objectPr defaultSize="0" autoPict="0" r:id="rId9">
            <anchor moveWithCells="1" sizeWithCells="1">
              <from>
                <xdr:col>3</xdr:col>
                <xdr:colOff>571500</xdr:colOff>
                <xdr:row>10</xdr:row>
                <xdr:rowOff>209550</xdr:rowOff>
              </from>
              <to>
                <xdr:col>6</xdr:col>
                <xdr:colOff>9525</xdr:colOff>
                <xdr:row>13</xdr:row>
                <xdr:rowOff>9525</xdr:rowOff>
              </to>
            </anchor>
          </objectPr>
        </oleObject>
      </mc:Choice>
      <mc:Fallback>
        <oleObject progId="Equation.3" shapeId="25605" r:id="rId8"/>
      </mc:Fallback>
    </mc:AlternateContent>
    <mc:AlternateContent xmlns:mc="http://schemas.openxmlformats.org/markup-compatibility/2006">
      <mc:Choice Requires="x14">
        <oleObject progId="Equation.3" shapeId="25606" r:id="rId10">
          <objectPr defaultSize="0" autoPict="0" r:id="rId11">
            <anchor moveWithCells="1" sizeWithCells="1">
              <from>
                <xdr:col>0</xdr:col>
                <xdr:colOff>609600</xdr:colOff>
                <xdr:row>15</xdr:row>
                <xdr:rowOff>219075</xdr:rowOff>
              </from>
              <to>
                <xdr:col>5</xdr:col>
                <xdr:colOff>57150</xdr:colOff>
                <xdr:row>19</xdr:row>
                <xdr:rowOff>228600</xdr:rowOff>
              </to>
            </anchor>
          </objectPr>
        </oleObject>
      </mc:Choice>
      <mc:Fallback>
        <oleObject progId="Equation.3" shapeId="25606" r:id="rId10"/>
      </mc:Fallback>
    </mc:AlternateContent>
  </oleObjec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7" workbookViewId="0">
      <selection sqref="A1:L27"/>
    </sheetView>
  </sheetViews>
  <sheetFormatPr defaultRowHeight="18.75" x14ac:dyDescent="0.3"/>
  <cols>
    <col min="1" max="1" width="7" style="17" customWidth="1"/>
    <col min="2" max="2" width="9.85546875" style="17" customWidth="1"/>
    <col min="3" max="12" width="9.140625" style="17"/>
    <col min="13" max="13" width="10.42578125" style="17" bestFit="1" customWidth="1"/>
    <col min="14" max="16384" width="9.140625" style="17"/>
  </cols>
  <sheetData>
    <row r="1" spans="1:13" ht="19.5" x14ac:dyDescent="0.35">
      <c r="A1" s="243" t="s">
        <v>204</v>
      </c>
      <c r="B1" s="243" t="s">
        <v>215</v>
      </c>
      <c r="C1" s="245" t="s">
        <v>216</v>
      </c>
      <c r="D1" s="246"/>
      <c r="E1" s="246"/>
      <c r="F1" s="246"/>
      <c r="G1" s="246"/>
      <c r="H1" s="246"/>
      <c r="I1" s="246"/>
      <c r="J1" s="246"/>
      <c r="K1" s="246"/>
      <c r="L1" s="246"/>
    </row>
    <row r="2" spans="1:13" s="147" customFormat="1" ht="40.5" customHeight="1" x14ac:dyDescent="0.4">
      <c r="A2" s="244"/>
      <c r="B2" s="244"/>
      <c r="C2" s="148" t="s">
        <v>205</v>
      </c>
      <c r="D2" s="108" t="s">
        <v>206</v>
      </c>
      <c r="E2" s="108" t="s">
        <v>207</v>
      </c>
      <c r="F2" s="108" t="s">
        <v>208</v>
      </c>
      <c r="G2" s="108" t="s">
        <v>209</v>
      </c>
      <c r="H2" s="108" t="s">
        <v>210</v>
      </c>
      <c r="I2" s="108" t="s">
        <v>211</v>
      </c>
      <c r="J2" s="108" t="s">
        <v>212</v>
      </c>
      <c r="K2" s="108" t="s">
        <v>213</v>
      </c>
      <c r="L2" s="108" t="s">
        <v>214</v>
      </c>
      <c r="M2" s="146"/>
    </row>
    <row r="3" spans="1:13" x14ac:dyDescent="0.3">
      <c r="A3" s="10">
        <v>1</v>
      </c>
      <c r="B3" s="10">
        <f ca="1">(RANDBETWEEN(5,10))</f>
        <v>10</v>
      </c>
      <c r="C3" s="19">
        <f ca="1">5*RAND()+2</f>
        <v>4.2087839649779601</v>
      </c>
      <c r="D3" s="19">
        <f t="shared" ref="D3:L3" ca="1" si="0">5*RAND()+2</f>
        <v>3.279413479416609</v>
      </c>
      <c r="E3" s="19">
        <f t="shared" ca="1" si="0"/>
        <v>5.2089645937136533</v>
      </c>
      <c r="F3" s="19">
        <f t="shared" ca="1" si="0"/>
        <v>2.8257052618248206</v>
      </c>
      <c r="G3" s="19">
        <f t="shared" ca="1" si="0"/>
        <v>2.4246554890867187</v>
      </c>
      <c r="H3" s="19">
        <f t="shared" ca="1" si="0"/>
        <v>6.3644009571129105</v>
      </c>
      <c r="I3" s="19">
        <f t="shared" ca="1" si="0"/>
        <v>2.2477437961720037</v>
      </c>
      <c r="J3" s="19">
        <f t="shared" ca="1" si="0"/>
        <v>2.5913009257659088</v>
      </c>
      <c r="K3" s="19">
        <f t="shared" ca="1" si="0"/>
        <v>2.5977436487758645</v>
      </c>
      <c r="L3" s="19">
        <f t="shared" ca="1" si="0"/>
        <v>3.9270602097786016</v>
      </c>
    </row>
    <row r="4" spans="1:13" x14ac:dyDescent="0.3">
      <c r="A4" s="10">
        <v>2</v>
      </c>
      <c r="B4" s="10">
        <f t="shared" ref="B4:B27" ca="1" si="1">(RANDBETWEEN(5,10))</f>
        <v>9</v>
      </c>
      <c r="C4" s="19">
        <f t="shared" ref="C4:L27" ca="1" si="2">5*RAND()+2</f>
        <v>6.8366906446713269</v>
      </c>
      <c r="D4" s="19">
        <f t="shared" ca="1" si="2"/>
        <v>2.3428673014788659</v>
      </c>
      <c r="E4" s="19">
        <f t="shared" ca="1" si="2"/>
        <v>2.238431985550362</v>
      </c>
      <c r="F4" s="19">
        <f t="shared" ca="1" si="2"/>
        <v>3.2687806028602981</v>
      </c>
      <c r="G4" s="19">
        <f t="shared" ca="1" si="2"/>
        <v>5.4214285302865388</v>
      </c>
      <c r="H4" s="19">
        <f t="shared" ca="1" si="2"/>
        <v>2.9375152265976743</v>
      </c>
      <c r="I4" s="19">
        <f t="shared" ca="1" si="2"/>
        <v>3.7523588063614302</v>
      </c>
      <c r="J4" s="19">
        <f t="shared" ca="1" si="2"/>
        <v>3.4148556481642678</v>
      </c>
      <c r="K4" s="19">
        <f t="shared" ca="1" si="2"/>
        <v>2.9015411871661341</v>
      </c>
      <c r="L4" s="19">
        <f t="shared" ca="1" si="2"/>
        <v>6.4301519621346719</v>
      </c>
    </row>
    <row r="5" spans="1:13" x14ac:dyDescent="0.3">
      <c r="A5" s="10">
        <v>3</v>
      </c>
      <c r="B5" s="10">
        <f t="shared" ca="1" si="1"/>
        <v>5</v>
      </c>
      <c r="C5" s="19">
        <f t="shared" ca="1" si="2"/>
        <v>2.9951825145076625</v>
      </c>
      <c r="D5" s="19">
        <f t="shared" ca="1" si="2"/>
        <v>6.7545671753603767</v>
      </c>
      <c r="E5" s="19">
        <f t="shared" ca="1" si="2"/>
        <v>2.1719814218781091</v>
      </c>
      <c r="F5" s="19">
        <f t="shared" ca="1" si="2"/>
        <v>4.0524307960399391</v>
      </c>
      <c r="G5" s="19">
        <f t="shared" ca="1" si="2"/>
        <v>5.4728637014434351</v>
      </c>
      <c r="H5" s="19">
        <f t="shared" ca="1" si="2"/>
        <v>6.8535742986489074</v>
      </c>
      <c r="I5" s="19">
        <f t="shared" ca="1" si="2"/>
        <v>2.6615523534169441</v>
      </c>
      <c r="J5" s="19">
        <f t="shared" ca="1" si="2"/>
        <v>5.1829226778805495</v>
      </c>
      <c r="K5" s="19">
        <f t="shared" ca="1" si="2"/>
        <v>6.0566011224723404</v>
      </c>
      <c r="L5" s="19">
        <f t="shared" ca="1" si="2"/>
        <v>6.6805633089723067</v>
      </c>
    </row>
    <row r="6" spans="1:13" x14ac:dyDescent="0.3">
      <c r="A6" s="10">
        <v>4</v>
      </c>
      <c r="B6" s="10">
        <f t="shared" ca="1" si="1"/>
        <v>7</v>
      </c>
      <c r="C6" s="19">
        <f t="shared" ca="1" si="2"/>
        <v>4.8312811270113691</v>
      </c>
      <c r="D6" s="19">
        <f t="shared" ca="1" si="2"/>
        <v>6.5960037037129533</v>
      </c>
      <c r="E6" s="19">
        <f t="shared" ca="1" si="2"/>
        <v>2.55493409479288</v>
      </c>
      <c r="F6" s="19">
        <f t="shared" ca="1" si="2"/>
        <v>2.6659071931870884</v>
      </c>
      <c r="G6" s="19">
        <f t="shared" ca="1" si="2"/>
        <v>5.0299150499515477</v>
      </c>
      <c r="H6" s="19">
        <f t="shared" ca="1" si="2"/>
        <v>6.5237053437405503</v>
      </c>
      <c r="I6" s="19">
        <f t="shared" ca="1" si="2"/>
        <v>3.9026078401232538</v>
      </c>
      <c r="J6" s="19">
        <f t="shared" ca="1" si="2"/>
        <v>4.8059917769442198</v>
      </c>
      <c r="K6" s="19">
        <f t="shared" ca="1" si="2"/>
        <v>4.4188857351744861</v>
      </c>
      <c r="L6" s="19">
        <f t="shared" ca="1" si="2"/>
        <v>4.160554017748801</v>
      </c>
    </row>
    <row r="7" spans="1:13" x14ac:dyDescent="0.3">
      <c r="A7" s="10">
        <v>5</v>
      </c>
      <c r="B7" s="10">
        <f t="shared" ca="1" si="1"/>
        <v>6</v>
      </c>
      <c r="C7" s="19">
        <f t="shared" ca="1" si="2"/>
        <v>6.5262589191425171</v>
      </c>
      <c r="D7" s="19">
        <f t="shared" ca="1" si="2"/>
        <v>3.3143187053000913</v>
      </c>
      <c r="E7" s="19">
        <f t="shared" ca="1" si="2"/>
        <v>3.4756121122211425</v>
      </c>
      <c r="F7" s="19">
        <f t="shared" ca="1" si="2"/>
        <v>3.4825763182829665</v>
      </c>
      <c r="G7" s="19">
        <f t="shared" ca="1" si="2"/>
        <v>4.8719374905199135</v>
      </c>
      <c r="H7" s="19">
        <f t="shared" ca="1" si="2"/>
        <v>3.7933724781632989</v>
      </c>
      <c r="I7" s="19">
        <f t="shared" ca="1" si="2"/>
        <v>4.5733690448013586</v>
      </c>
      <c r="J7" s="19">
        <f t="shared" ca="1" si="2"/>
        <v>6.8935428379639188</v>
      </c>
      <c r="K7" s="19">
        <f t="shared" ca="1" si="2"/>
        <v>6.6771943171843349</v>
      </c>
      <c r="L7" s="19">
        <f t="shared" ca="1" si="2"/>
        <v>2.6783803225227518</v>
      </c>
    </row>
    <row r="8" spans="1:13" x14ac:dyDescent="0.3">
      <c r="A8" s="10">
        <v>6</v>
      </c>
      <c r="B8" s="10">
        <f t="shared" ca="1" si="1"/>
        <v>5</v>
      </c>
      <c r="C8" s="19">
        <f t="shared" ca="1" si="2"/>
        <v>4.3400830696078305</v>
      </c>
      <c r="D8" s="19">
        <f t="shared" ca="1" si="2"/>
        <v>6.1262495500283585</v>
      </c>
      <c r="E8" s="19">
        <f t="shared" ca="1" si="2"/>
        <v>5.0186315622682738</v>
      </c>
      <c r="F8" s="19">
        <f t="shared" ca="1" si="2"/>
        <v>4.3904943789054709</v>
      </c>
      <c r="G8" s="19">
        <f t="shared" ca="1" si="2"/>
        <v>4.5735017807879785</v>
      </c>
      <c r="H8" s="19">
        <f t="shared" ca="1" si="2"/>
        <v>2.1752421739740093</v>
      </c>
      <c r="I8" s="19">
        <f t="shared" ca="1" si="2"/>
        <v>6.3601718643461274</v>
      </c>
      <c r="J8" s="19">
        <f t="shared" ca="1" si="2"/>
        <v>3.1089283295847876</v>
      </c>
      <c r="K8" s="19">
        <f t="shared" ca="1" si="2"/>
        <v>3.4553749784644383</v>
      </c>
      <c r="L8" s="19">
        <f t="shared" ca="1" si="2"/>
        <v>2.1805339158274362</v>
      </c>
    </row>
    <row r="9" spans="1:13" x14ac:dyDescent="0.3">
      <c r="A9" s="10">
        <v>7</v>
      </c>
      <c r="B9" s="10">
        <f t="shared" ca="1" si="1"/>
        <v>6</v>
      </c>
      <c r="C9" s="19">
        <f t="shared" ca="1" si="2"/>
        <v>5.0382158887679545</v>
      </c>
      <c r="D9" s="19">
        <f t="shared" ca="1" si="2"/>
        <v>5.8717197190462471</v>
      </c>
      <c r="E9" s="19">
        <f t="shared" ca="1" si="2"/>
        <v>2.9740746723219269</v>
      </c>
      <c r="F9" s="19">
        <f t="shared" ca="1" si="2"/>
        <v>6.5449762412908497</v>
      </c>
      <c r="G9" s="19">
        <f t="shared" ca="1" si="2"/>
        <v>6.7127625063019556</v>
      </c>
      <c r="H9" s="19">
        <f t="shared" ca="1" si="2"/>
        <v>6.3836388315389838</v>
      </c>
      <c r="I9" s="19">
        <f t="shared" ca="1" si="2"/>
        <v>4.5923623902530766</v>
      </c>
      <c r="J9" s="19">
        <f t="shared" ca="1" si="2"/>
        <v>5.6379150524528061</v>
      </c>
      <c r="K9" s="19">
        <f t="shared" ca="1" si="2"/>
        <v>5.7199216675777702</v>
      </c>
      <c r="L9" s="19">
        <f t="shared" ca="1" si="2"/>
        <v>2.2925996652976641</v>
      </c>
    </row>
    <row r="10" spans="1:13" x14ac:dyDescent="0.3">
      <c r="A10" s="10">
        <v>8</v>
      </c>
      <c r="B10" s="10">
        <f t="shared" ca="1" si="1"/>
        <v>9</v>
      </c>
      <c r="C10" s="19">
        <f t="shared" ca="1" si="2"/>
        <v>4.8624732245690687</v>
      </c>
      <c r="D10" s="19">
        <f t="shared" ca="1" si="2"/>
        <v>5.4538072708519181</v>
      </c>
      <c r="E10" s="19">
        <f t="shared" ca="1" si="2"/>
        <v>5.0443111891034578</v>
      </c>
      <c r="F10" s="19">
        <f t="shared" ca="1" si="2"/>
        <v>4.4295167495737235</v>
      </c>
      <c r="G10" s="19">
        <f t="shared" ca="1" si="2"/>
        <v>5.0001579547623782</v>
      </c>
      <c r="H10" s="19">
        <f t="shared" ca="1" si="2"/>
        <v>2.6724320881286729</v>
      </c>
      <c r="I10" s="19">
        <f t="shared" ca="1" si="2"/>
        <v>5.260064337190002</v>
      </c>
      <c r="J10" s="19">
        <f t="shared" ca="1" si="2"/>
        <v>5.0991004841695968</v>
      </c>
      <c r="K10" s="19">
        <f t="shared" ca="1" si="2"/>
        <v>2.0975430572037359</v>
      </c>
      <c r="L10" s="19">
        <f t="shared" ca="1" si="2"/>
        <v>4.3794936773228503</v>
      </c>
    </row>
    <row r="11" spans="1:13" x14ac:dyDescent="0.3">
      <c r="A11" s="10">
        <v>9</v>
      </c>
      <c r="B11" s="10">
        <f t="shared" ca="1" si="1"/>
        <v>6</v>
      </c>
      <c r="C11" s="19">
        <f t="shared" ca="1" si="2"/>
        <v>6.6200127320079627</v>
      </c>
      <c r="D11" s="19">
        <f t="shared" ca="1" si="2"/>
        <v>2.0340907886779354</v>
      </c>
      <c r="E11" s="19">
        <f t="shared" ca="1" si="2"/>
        <v>5.9003241864237088</v>
      </c>
      <c r="F11" s="19">
        <f t="shared" ca="1" si="2"/>
        <v>6.0250064750218115</v>
      </c>
      <c r="G11" s="19">
        <f t="shared" ca="1" si="2"/>
        <v>4.6087740507994894</v>
      </c>
      <c r="H11" s="19">
        <f t="shared" ca="1" si="2"/>
        <v>5.6400096797261305</v>
      </c>
      <c r="I11" s="19">
        <f t="shared" ca="1" si="2"/>
        <v>3.9946431644195037</v>
      </c>
      <c r="J11" s="19">
        <f t="shared" ca="1" si="2"/>
        <v>3.0887958591536546</v>
      </c>
      <c r="K11" s="19">
        <f t="shared" ca="1" si="2"/>
        <v>5.6562189783929959</v>
      </c>
      <c r="L11" s="19">
        <f t="shared" ca="1" si="2"/>
        <v>3.0295445027327399</v>
      </c>
    </row>
    <row r="12" spans="1:13" x14ac:dyDescent="0.3">
      <c r="A12" s="10">
        <v>10</v>
      </c>
      <c r="B12" s="10">
        <f t="shared" ca="1" si="1"/>
        <v>9</v>
      </c>
      <c r="C12" s="19">
        <f t="shared" ca="1" si="2"/>
        <v>5.768741732533563</v>
      </c>
      <c r="D12" s="19">
        <f t="shared" ca="1" si="2"/>
        <v>3.4340924218207931</v>
      </c>
      <c r="E12" s="19">
        <f t="shared" ca="1" si="2"/>
        <v>3.0393744933353273</v>
      </c>
      <c r="F12" s="19">
        <f t="shared" ca="1" si="2"/>
        <v>5.4619288855675405</v>
      </c>
      <c r="G12" s="19">
        <f t="shared" ca="1" si="2"/>
        <v>2.8337490742974607</v>
      </c>
      <c r="H12" s="19">
        <f t="shared" ca="1" si="2"/>
        <v>2.7436182124731077</v>
      </c>
      <c r="I12" s="19">
        <f t="shared" ca="1" si="2"/>
        <v>5.7037782090647831</v>
      </c>
      <c r="J12" s="19">
        <f t="shared" ca="1" si="2"/>
        <v>3.9903416060245553</v>
      </c>
      <c r="K12" s="19">
        <f t="shared" ca="1" si="2"/>
        <v>3.4493581221374248</v>
      </c>
      <c r="L12" s="19">
        <f t="shared" ca="1" si="2"/>
        <v>4.9891622350870497</v>
      </c>
    </row>
    <row r="13" spans="1:13" x14ac:dyDescent="0.3">
      <c r="A13" s="10">
        <v>11</v>
      </c>
      <c r="B13" s="10">
        <f t="shared" ca="1" si="1"/>
        <v>8</v>
      </c>
      <c r="C13" s="19">
        <f t="shared" ca="1" si="2"/>
        <v>3.5520803222409936</v>
      </c>
      <c r="D13" s="19">
        <f t="shared" ca="1" si="2"/>
        <v>2.6446726741214297</v>
      </c>
      <c r="E13" s="19">
        <f t="shared" ca="1" si="2"/>
        <v>6.006385204677767</v>
      </c>
      <c r="F13" s="19">
        <f t="shared" ca="1" si="2"/>
        <v>3.0627459229263354</v>
      </c>
      <c r="G13" s="19">
        <f t="shared" ca="1" si="2"/>
        <v>3.9979685688904119</v>
      </c>
      <c r="H13" s="19">
        <f t="shared" ca="1" si="2"/>
        <v>5.3708763096461603</v>
      </c>
      <c r="I13" s="19">
        <f t="shared" ca="1" si="2"/>
        <v>5.8469868973384411</v>
      </c>
      <c r="J13" s="19">
        <f t="shared" ca="1" si="2"/>
        <v>6.0390116843081776</v>
      </c>
      <c r="K13" s="19">
        <f t="shared" ca="1" si="2"/>
        <v>5.6903609385743108</v>
      </c>
      <c r="L13" s="19">
        <f t="shared" ca="1" si="2"/>
        <v>6.3141780754147989</v>
      </c>
    </row>
    <row r="14" spans="1:13" x14ac:dyDescent="0.3">
      <c r="A14" s="10">
        <v>12</v>
      </c>
      <c r="B14" s="10">
        <f t="shared" ca="1" si="1"/>
        <v>8</v>
      </c>
      <c r="C14" s="19">
        <f t="shared" ca="1" si="2"/>
        <v>6.3934135600763229</v>
      </c>
      <c r="D14" s="19">
        <f t="shared" ca="1" si="2"/>
        <v>5.5931066301999675</v>
      </c>
      <c r="E14" s="19">
        <f t="shared" ca="1" si="2"/>
        <v>6.5465908826116541</v>
      </c>
      <c r="F14" s="19">
        <f t="shared" ca="1" si="2"/>
        <v>3.2244912410102589</v>
      </c>
      <c r="G14" s="19">
        <f t="shared" ca="1" si="2"/>
        <v>6.3586568381853654</v>
      </c>
      <c r="H14" s="19">
        <f t="shared" ca="1" si="2"/>
        <v>6.4616129770359372</v>
      </c>
      <c r="I14" s="19">
        <f t="shared" ca="1" si="2"/>
        <v>4.5064864092114831</v>
      </c>
      <c r="J14" s="19">
        <f t="shared" ca="1" si="2"/>
        <v>5.7601348824388285</v>
      </c>
      <c r="K14" s="19">
        <f t="shared" ca="1" si="2"/>
        <v>4.230553218264931</v>
      </c>
      <c r="L14" s="19">
        <f t="shared" ca="1" si="2"/>
        <v>4.8949319107845355</v>
      </c>
    </row>
    <row r="15" spans="1:13" x14ac:dyDescent="0.3">
      <c r="A15" s="10">
        <v>13</v>
      </c>
      <c r="B15" s="10">
        <f t="shared" ca="1" si="1"/>
        <v>7</v>
      </c>
      <c r="C15" s="19">
        <f t="shared" ca="1" si="2"/>
        <v>6.2161745185976391</v>
      </c>
      <c r="D15" s="19">
        <f t="shared" ca="1" si="2"/>
        <v>6.2684393348207514</v>
      </c>
      <c r="E15" s="19">
        <f t="shared" ca="1" si="2"/>
        <v>5.3072629970094205</v>
      </c>
      <c r="F15" s="19">
        <f t="shared" ca="1" si="2"/>
        <v>2.1886634289534843</v>
      </c>
      <c r="G15" s="19">
        <f t="shared" ca="1" si="2"/>
        <v>2.6516009715579454</v>
      </c>
      <c r="H15" s="19">
        <f t="shared" ca="1" si="2"/>
        <v>2.9608007687865037</v>
      </c>
      <c r="I15" s="19">
        <f t="shared" ca="1" si="2"/>
        <v>6.4619224592313707</v>
      </c>
      <c r="J15" s="19">
        <f t="shared" ca="1" si="2"/>
        <v>2.6363636581949059</v>
      </c>
      <c r="K15" s="19">
        <f t="shared" ca="1" si="2"/>
        <v>3.8309037752931228</v>
      </c>
      <c r="L15" s="19">
        <f t="shared" ca="1" si="2"/>
        <v>3.1801346902996461</v>
      </c>
    </row>
    <row r="16" spans="1:13" x14ac:dyDescent="0.3">
      <c r="A16" s="10">
        <v>14</v>
      </c>
      <c r="B16" s="10">
        <f t="shared" ca="1" si="1"/>
        <v>5</v>
      </c>
      <c r="C16" s="19">
        <f t="shared" ca="1" si="2"/>
        <v>4.274497156871365</v>
      </c>
      <c r="D16" s="19">
        <f t="shared" ca="1" si="2"/>
        <v>4.1853379539800528</v>
      </c>
      <c r="E16" s="19">
        <f t="shared" ca="1" si="2"/>
        <v>5.452574658401721</v>
      </c>
      <c r="F16" s="19">
        <f t="shared" ca="1" si="2"/>
        <v>6.9978600809320097</v>
      </c>
      <c r="G16" s="19">
        <f t="shared" ca="1" si="2"/>
        <v>4.0185542995272154</v>
      </c>
      <c r="H16" s="19">
        <f t="shared" ca="1" si="2"/>
        <v>6.7571005829868964</v>
      </c>
      <c r="I16" s="19">
        <f t="shared" ca="1" si="2"/>
        <v>4.0441283891190007</v>
      </c>
      <c r="J16" s="19">
        <f t="shared" ca="1" si="2"/>
        <v>2.2750100277030216</v>
      </c>
      <c r="K16" s="19">
        <f t="shared" ca="1" si="2"/>
        <v>3.1387847472903667</v>
      </c>
      <c r="L16" s="19">
        <f t="shared" ca="1" si="2"/>
        <v>2.7291729821190129</v>
      </c>
    </row>
    <row r="17" spans="1:12" x14ac:dyDescent="0.3">
      <c r="A17" s="10">
        <v>15</v>
      </c>
      <c r="B17" s="10">
        <f t="shared" ca="1" si="1"/>
        <v>9</v>
      </c>
      <c r="C17" s="19">
        <f t="shared" ca="1" si="2"/>
        <v>3.3251294184547833</v>
      </c>
      <c r="D17" s="19">
        <f t="shared" ca="1" si="2"/>
        <v>6.9781950128418231</v>
      </c>
      <c r="E17" s="19">
        <f t="shared" ca="1" si="2"/>
        <v>6.6419152293969717</v>
      </c>
      <c r="F17" s="19">
        <f t="shared" ca="1" si="2"/>
        <v>4.7420842004338031</v>
      </c>
      <c r="G17" s="19">
        <f t="shared" ca="1" si="2"/>
        <v>6.02638746865287</v>
      </c>
      <c r="H17" s="19">
        <f t="shared" ca="1" si="2"/>
        <v>4.3479464132942862</v>
      </c>
      <c r="I17" s="19">
        <f t="shared" ca="1" si="2"/>
        <v>6.3049155552728378</v>
      </c>
      <c r="J17" s="19">
        <f t="shared" ca="1" si="2"/>
        <v>6.7799060764004606</v>
      </c>
      <c r="K17" s="19">
        <f t="shared" ca="1" si="2"/>
        <v>2.9988044357887356</v>
      </c>
      <c r="L17" s="19">
        <f t="shared" ca="1" si="2"/>
        <v>4.4660551299404014</v>
      </c>
    </row>
    <row r="18" spans="1:12" x14ac:dyDescent="0.3">
      <c r="A18" s="10">
        <v>16</v>
      </c>
      <c r="B18" s="10">
        <f t="shared" ca="1" si="1"/>
        <v>9</v>
      </c>
      <c r="C18" s="19">
        <f t="shared" ca="1" si="2"/>
        <v>2.9327094107699767</v>
      </c>
      <c r="D18" s="19">
        <f t="shared" ca="1" si="2"/>
        <v>4.5024784778572684</v>
      </c>
      <c r="E18" s="19">
        <f t="shared" ca="1" si="2"/>
        <v>2.7271639884347865</v>
      </c>
      <c r="F18" s="19">
        <f t="shared" ca="1" si="2"/>
        <v>5.997147207381806</v>
      </c>
      <c r="G18" s="19">
        <f t="shared" ca="1" si="2"/>
        <v>2.5617094136259357</v>
      </c>
      <c r="H18" s="19">
        <f t="shared" ca="1" si="2"/>
        <v>5.5307517624126508</v>
      </c>
      <c r="I18" s="19">
        <f t="shared" ca="1" si="2"/>
        <v>5.0038738859004566</v>
      </c>
      <c r="J18" s="19">
        <f t="shared" ca="1" si="2"/>
        <v>2.2209699981859958</v>
      </c>
      <c r="K18" s="19">
        <f t="shared" ca="1" si="2"/>
        <v>3.1540533622683755</v>
      </c>
      <c r="L18" s="19">
        <f t="shared" ca="1" si="2"/>
        <v>3.6439055028342109</v>
      </c>
    </row>
    <row r="19" spans="1:12" x14ac:dyDescent="0.3">
      <c r="A19" s="10">
        <v>17</v>
      </c>
      <c r="B19" s="10">
        <f t="shared" ca="1" si="1"/>
        <v>5</v>
      </c>
      <c r="C19" s="19">
        <f t="shared" ca="1" si="2"/>
        <v>4.7648200801940668</v>
      </c>
      <c r="D19" s="19">
        <f t="shared" ca="1" si="2"/>
        <v>2.985413804152298</v>
      </c>
      <c r="E19" s="19">
        <f t="shared" ca="1" si="2"/>
        <v>3.3947710206176227</v>
      </c>
      <c r="F19" s="19">
        <f t="shared" ca="1" si="2"/>
        <v>4.3213400645979991</v>
      </c>
      <c r="G19" s="19">
        <f t="shared" ca="1" si="2"/>
        <v>5.9471684445021662</v>
      </c>
      <c r="H19" s="19">
        <f t="shared" ca="1" si="2"/>
        <v>6.1105679861289159</v>
      </c>
      <c r="I19" s="19">
        <f t="shared" ca="1" si="2"/>
        <v>4.7800685217835914</v>
      </c>
      <c r="J19" s="19">
        <f t="shared" ca="1" si="2"/>
        <v>3.6969564346256787</v>
      </c>
      <c r="K19" s="19">
        <f t="shared" ca="1" si="2"/>
        <v>3.1449489174601513</v>
      </c>
      <c r="L19" s="19">
        <f t="shared" ca="1" si="2"/>
        <v>3.276182482658577</v>
      </c>
    </row>
    <row r="20" spans="1:12" x14ac:dyDescent="0.3">
      <c r="A20" s="10">
        <v>18</v>
      </c>
      <c r="B20" s="10">
        <f t="shared" ca="1" si="1"/>
        <v>5</v>
      </c>
      <c r="C20" s="19">
        <f t="shared" ca="1" si="2"/>
        <v>5.3730739618673811</v>
      </c>
      <c r="D20" s="19">
        <f t="shared" ca="1" si="2"/>
        <v>5.085990086932016</v>
      </c>
      <c r="E20" s="19">
        <f t="shared" ca="1" si="2"/>
        <v>6.1908945671288684</v>
      </c>
      <c r="F20" s="19">
        <f t="shared" ca="1" si="2"/>
        <v>6.1140914944793687</v>
      </c>
      <c r="G20" s="19">
        <f t="shared" ca="1" si="2"/>
        <v>2.037899468017434</v>
      </c>
      <c r="H20" s="19">
        <f t="shared" ca="1" si="2"/>
        <v>2.4795816298887075</v>
      </c>
      <c r="I20" s="19">
        <f t="shared" ca="1" si="2"/>
        <v>6.3429513158116269</v>
      </c>
      <c r="J20" s="19">
        <f t="shared" ca="1" si="2"/>
        <v>5.1730320668141889</v>
      </c>
      <c r="K20" s="19">
        <f t="shared" ca="1" si="2"/>
        <v>4.462355021110298</v>
      </c>
      <c r="L20" s="19">
        <f t="shared" ca="1" si="2"/>
        <v>4.1054587026938965</v>
      </c>
    </row>
    <row r="21" spans="1:12" x14ac:dyDescent="0.3">
      <c r="A21" s="10">
        <v>19</v>
      </c>
      <c r="B21" s="10">
        <f t="shared" ca="1" si="1"/>
        <v>8</v>
      </c>
      <c r="C21" s="19">
        <f t="shared" ca="1" si="2"/>
        <v>2.5574526543453762</v>
      </c>
      <c r="D21" s="19">
        <f t="shared" ca="1" si="2"/>
        <v>2.0050161153161188</v>
      </c>
      <c r="E21" s="19">
        <f t="shared" ca="1" si="2"/>
        <v>5.7940916052312552</v>
      </c>
      <c r="F21" s="19">
        <f t="shared" ca="1" si="2"/>
        <v>3.4296813344879595</v>
      </c>
      <c r="G21" s="19">
        <f t="shared" ca="1" si="2"/>
        <v>2.7959935897942758</v>
      </c>
      <c r="H21" s="19">
        <f t="shared" ca="1" si="2"/>
        <v>4.4763607629057951</v>
      </c>
      <c r="I21" s="19">
        <f t="shared" ca="1" si="2"/>
        <v>6.2366757153467995</v>
      </c>
      <c r="J21" s="19">
        <f t="shared" ca="1" si="2"/>
        <v>6.9882493768986818</v>
      </c>
      <c r="K21" s="19">
        <f t="shared" ca="1" si="2"/>
        <v>6.0709971759321286</v>
      </c>
      <c r="L21" s="19">
        <f t="shared" ca="1" si="2"/>
        <v>4.820529917635251</v>
      </c>
    </row>
    <row r="22" spans="1:12" x14ac:dyDescent="0.3">
      <c r="A22" s="10">
        <v>20</v>
      </c>
      <c r="B22" s="10">
        <f t="shared" ca="1" si="1"/>
        <v>10</v>
      </c>
      <c r="C22" s="19">
        <f t="shared" ca="1" si="2"/>
        <v>3.4773587080888797</v>
      </c>
      <c r="D22" s="19">
        <f t="shared" ca="1" si="2"/>
        <v>5.8740834394010149</v>
      </c>
      <c r="E22" s="19">
        <f t="shared" ca="1" si="2"/>
        <v>2.6159385308405025</v>
      </c>
      <c r="F22" s="19">
        <f t="shared" ca="1" si="2"/>
        <v>6.2375419182049514</v>
      </c>
      <c r="G22" s="19">
        <f t="shared" ca="1" si="2"/>
        <v>2.4466044708748984</v>
      </c>
      <c r="H22" s="19">
        <f t="shared" ca="1" si="2"/>
        <v>2.8280013644151927</v>
      </c>
      <c r="I22" s="19">
        <f t="shared" ca="1" si="2"/>
        <v>5.0743719549285622</v>
      </c>
      <c r="J22" s="19">
        <f t="shared" ca="1" si="2"/>
        <v>4.5178221610281213</v>
      </c>
      <c r="K22" s="19">
        <f t="shared" ca="1" si="2"/>
        <v>4.8558509717466816</v>
      </c>
      <c r="L22" s="19">
        <f t="shared" ca="1" si="2"/>
        <v>4.8687525134080394</v>
      </c>
    </row>
    <row r="23" spans="1:12" x14ac:dyDescent="0.3">
      <c r="A23" s="10">
        <v>21</v>
      </c>
      <c r="B23" s="10">
        <f t="shared" ca="1" si="1"/>
        <v>7</v>
      </c>
      <c r="C23" s="19">
        <f t="shared" ca="1" si="2"/>
        <v>3.954801871300758</v>
      </c>
      <c r="D23" s="19">
        <f t="shared" ca="1" si="2"/>
        <v>3.4562992343133132</v>
      </c>
      <c r="E23" s="19">
        <f t="shared" ca="1" si="2"/>
        <v>3.4237390636034721</v>
      </c>
      <c r="F23" s="19">
        <f t="shared" ca="1" si="2"/>
        <v>4.8237231037889972</v>
      </c>
      <c r="G23" s="19">
        <f t="shared" ca="1" si="2"/>
        <v>6.3680911021782123</v>
      </c>
      <c r="H23" s="19">
        <f t="shared" ca="1" si="2"/>
        <v>3.2683938990267989</v>
      </c>
      <c r="I23" s="19">
        <f t="shared" ca="1" si="2"/>
        <v>6.2079095500984263</v>
      </c>
      <c r="J23" s="19">
        <f t="shared" ca="1" si="2"/>
        <v>4.616083120048657</v>
      </c>
      <c r="K23" s="19">
        <f t="shared" ca="1" si="2"/>
        <v>5.1090079470933185</v>
      </c>
      <c r="L23" s="19">
        <f t="shared" ca="1" si="2"/>
        <v>2.7141370082963854</v>
      </c>
    </row>
    <row r="24" spans="1:12" x14ac:dyDescent="0.3">
      <c r="A24" s="10">
        <v>22</v>
      </c>
      <c r="B24" s="10">
        <f t="shared" ca="1" si="1"/>
        <v>8</v>
      </c>
      <c r="C24" s="19">
        <f t="shared" ca="1" si="2"/>
        <v>3.0662916827350939</v>
      </c>
      <c r="D24" s="19">
        <f t="shared" ca="1" si="2"/>
        <v>4.4663389177705692</v>
      </c>
      <c r="E24" s="19">
        <f t="shared" ca="1" si="2"/>
        <v>5.5026531071032982</v>
      </c>
      <c r="F24" s="19">
        <f t="shared" ca="1" si="2"/>
        <v>6.7960813265179896</v>
      </c>
      <c r="G24" s="19">
        <f t="shared" ca="1" si="2"/>
        <v>5.3948800521164104</v>
      </c>
      <c r="H24" s="19">
        <f t="shared" ca="1" si="2"/>
        <v>5.9982493898029015</v>
      </c>
      <c r="I24" s="19">
        <f t="shared" ca="1" si="2"/>
        <v>3.7317910833083996</v>
      </c>
      <c r="J24" s="19">
        <f t="shared" ca="1" si="2"/>
        <v>3.183604751717489</v>
      </c>
      <c r="K24" s="19">
        <f t="shared" ca="1" si="2"/>
        <v>4.5494112708522181</v>
      </c>
      <c r="L24" s="19">
        <f t="shared" ca="1" si="2"/>
        <v>5.1432891686317443</v>
      </c>
    </row>
    <row r="25" spans="1:12" x14ac:dyDescent="0.3">
      <c r="A25" s="10">
        <v>23</v>
      </c>
      <c r="B25" s="10">
        <f t="shared" ca="1" si="1"/>
        <v>7</v>
      </c>
      <c r="C25" s="19">
        <f t="shared" ca="1" si="2"/>
        <v>3.4844720385308601</v>
      </c>
      <c r="D25" s="19">
        <f t="shared" ca="1" si="2"/>
        <v>4.0707971144333435</v>
      </c>
      <c r="E25" s="19">
        <f t="shared" ca="1" si="2"/>
        <v>4.943652135355153</v>
      </c>
      <c r="F25" s="19">
        <f t="shared" ca="1" si="2"/>
        <v>6.9843589620725668</v>
      </c>
      <c r="G25" s="19">
        <f t="shared" ca="1" si="2"/>
        <v>6.2430960841436027</v>
      </c>
      <c r="H25" s="19">
        <f t="shared" ca="1" si="2"/>
        <v>5.1168917448404496</v>
      </c>
      <c r="I25" s="19">
        <f t="shared" ca="1" si="2"/>
        <v>4.6904925936992772</v>
      </c>
      <c r="J25" s="19">
        <f t="shared" ca="1" si="2"/>
        <v>2.4194738323591318</v>
      </c>
      <c r="K25" s="19">
        <f t="shared" ca="1" si="2"/>
        <v>5.840544076163888</v>
      </c>
      <c r="L25" s="19">
        <f t="shared" ca="1" si="2"/>
        <v>2.4437128703755109</v>
      </c>
    </row>
    <row r="26" spans="1:12" x14ac:dyDescent="0.3">
      <c r="A26" s="10">
        <v>24</v>
      </c>
      <c r="B26" s="10">
        <f t="shared" ca="1" si="1"/>
        <v>7</v>
      </c>
      <c r="C26" s="19">
        <f t="shared" ca="1" si="2"/>
        <v>6.5518713131589115</v>
      </c>
      <c r="D26" s="19">
        <f t="shared" ca="1" si="2"/>
        <v>5.8098585315648847</v>
      </c>
      <c r="E26" s="19">
        <f t="shared" ca="1" si="2"/>
        <v>3.2618206441136537</v>
      </c>
      <c r="F26" s="19">
        <f t="shared" ca="1" si="2"/>
        <v>6.0127441496471867</v>
      </c>
      <c r="G26" s="19">
        <f t="shared" ca="1" si="2"/>
        <v>2.4237612214880651</v>
      </c>
      <c r="H26" s="19">
        <f t="shared" ca="1" si="2"/>
        <v>6.4745794838580641</v>
      </c>
      <c r="I26" s="19">
        <f t="shared" ca="1" si="2"/>
        <v>6.9383767808603025</v>
      </c>
      <c r="J26" s="19">
        <f t="shared" ca="1" si="2"/>
        <v>3.5481192077352706</v>
      </c>
      <c r="K26" s="19">
        <f t="shared" ca="1" si="2"/>
        <v>2.3417231410999086</v>
      </c>
      <c r="L26" s="19">
        <f t="shared" ca="1" si="2"/>
        <v>5.5065110435261113</v>
      </c>
    </row>
    <row r="27" spans="1:12" x14ac:dyDescent="0.3">
      <c r="A27" s="10">
        <v>25</v>
      </c>
      <c r="B27" s="10">
        <f t="shared" ca="1" si="1"/>
        <v>7</v>
      </c>
      <c r="C27" s="19">
        <f t="shared" ca="1" si="2"/>
        <v>6.2991190446374645</v>
      </c>
      <c r="D27" s="19">
        <f t="shared" ca="1" si="2"/>
        <v>3.6085519598914253</v>
      </c>
      <c r="E27" s="19">
        <f t="shared" ca="1" si="2"/>
        <v>6.2382241422996012</v>
      </c>
      <c r="F27" s="19">
        <f t="shared" ca="1" si="2"/>
        <v>2.0305552361618746</v>
      </c>
      <c r="G27" s="19">
        <f t="shared" ca="1" si="2"/>
        <v>3.5802442393870124</v>
      </c>
      <c r="H27" s="19">
        <f t="shared" ca="1" si="2"/>
        <v>5.1739600490127042</v>
      </c>
      <c r="I27" s="19">
        <f t="shared" ca="1" si="2"/>
        <v>4.7211335067624596</v>
      </c>
      <c r="J27" s="19">
        <f t="shared" ca="1" si="2"/>
        <v>6.8352089164104548</v>
      </c>
      <c r="K27" s="19">
        <f t="shared" ca="1" si="2"/>
        <v>3.2498795479182667</v>
      </c>
      <c r="L27" s="19">
        <f t="shared" ca="1" si="2"/>
        <v>3.6971959307057691</v>
      </c>
    </row>
  </sheetData>
  <mergeCells count="3">
    <mergeCell ref="A1:A2"/>
    <mergeCell ref="B1:B2"/>
    <mergeCell ref="C1:L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E27"/>
    </sheetView>
  </sheetViews>
  <sheetFormatPr defaultRowHeight="18.75" x14ac:dyDescent="0.3"/>
  <cols>
    <col min="1" max="1" width="7" style="17" customWidth="1"/>
    <col min="2" max="2" width="10.7109375" style="17" customWidth="1"/>
    <col min="3" max="3" width="10.5703125" style="17" customWidth="1"/>
    <col min="4" max="4" width="11.85546875" style="17" customWidth="1"/>
    <col min="5" max="5" width="13.140625" style="17" customWidth="1"/>
    <col min="6" max="6" width="10.42578125" style="17" bestFit="1" customWidth="1"/>
    <col min="7" max="16384" width="9.140625" style="17"/>
  </cols>
  <sheetData>
    <row r="1" spans="1:6" ht="19.5" customHeight="1" x14ac:dyDescent="0.35">
      <c r="A1" s="243" t="s">
        <v>204</v>
      </c>
      <c r="B1" s="245" t="s">
        <v>217</v>
      </c>
      <c r="C1" s="246"/>
      <c r="D1" s="246"/>
      <c r="E1" s="246"/>
    </row>
    <row r="2" spans="1:6" s="147" customFormat="1" ht="40.5" customHeight="1" x14ac:dyDescent="0.35">
      <c r="A2" s="244"/>
      <c r="B2" s="148">
        <v>2</v>
      </c>
      <c r="C2" s="108">
        <v>3</v>
      </c>
      <c r="D2" s="108">
        <v>4</v>
      </c>
      <c r="E2" s="108">
        <v>5</v>
      </c>
      <c r="F2" s="146"/>
    </row>
    <row r="3" spans="1:6" x14ac:dyDescent="0.3">
      <c r="A3" s="10">
        <v>1</v>
      </c>
      <c r="B3" s="149">
        <f ca="1">RANDBETWEEN(1,8)</f>
        <v>7</v>
      </c>
      <c r="C3" s="149">
        <f t="shared" ref="C3:E18" ca="1" si="0">RANDBETWEEN(1,8)</f>
        <v>5</v>
      </c>
      <c r="D3" s="149">
        <f t="shared" ca="1" si="0"/>
        <v>6</v>
      </c>
      <c r="E3" s="149">
        <f t="shared" ca="1" si="0"/>
        <v>1</v>
      </c>
    </row>
    <row r="4" spans="1:6" x14ac:dyDescent="0.3">
      <c r="A4" s="10">
        <v>2</v>
      </c>
      <c r="B4" s="149">
        <f t="shared" ref="B4:E27" ca="1" si="1">RANDBETWEEN(1,8)</f>
        <v>6</v>
      </c>
      <c r="C4" s="149">
        <f t="shared" ca="1" si="0"/>
        <v>5</v>
      </c>
      <c r="D4" s="149">
        <f t="shared" ca="1" si="0"/>
        <v>7</v>
      </c>
      <c r="E4" s="149">
        <f t="shared" ca="1" si="0"/>
        <v>7</v>
      </c>
    </row>
    <row r="5" spans="1:6" x14ac:dyDescent="0.3">
      <c r="A5" s="10">
        <v>3</v>
      </c>
      <c r="B5" s="149">
        <f t="shared" ca="1" si="1"/>
        <v>8</v>
      </c>
      <c r="C5" s="149">
        <f t="shared" ca="1" si="0"/>
        <v>1</v>
      </c>
      <c r="D5" s="149">
        <f t="shared" ca="1" si="0"/>
        <v>2</v>
      </c>
      <c r="E5" s="149">
        <f t="shared" ca="1" si="0"/>
        <v>3</v>
      </c>
    </row>
    <row r="6" spans="1:6" x14ac:dyDescent="0.3">
      <c r="A6" s="10">
        <v>4</v>
      </c>
      <c r="B6" s="149">
        <f t="shared" ca="1" si="1"/>
        <v>7</v>
      </c>
      <c r="C6" s="149">
        <f t="shared" ca="1" si="0"/>
        <v>4</v>
      </c>
      <c r="D6" s="149">
        <f t="shared" ca="1" si="0"/>
        <v>6</v>
      </c>
      <c r="E6" s="149">
        <f t="shared" ca="1" si="0"/>
        <v>4</v>
      </c>
    </row>
    <row r="7" spans="1:6" x14ac:dyDescent="0.3">
      <c r="A7" s="10">
        <v>5</v>
      </c>
      <c r="B7" s="149">
        <f t="shared" ca="1" si="1"/>
        <v>5</v>
      </c>
      <c r="C7" s="149">
        <f t="shared" ca="1" si="0"/>
        <v>5</v>
      </c>
      <c r="D7" s="149">
        <f t="shared" ca="1" si="0"/>
        <v>3</v>
      </c>
      <c r="E7" s="149">
        <f t="shared" ca="1" si="0"/>
        <v>5</v>
      </c>
    </row>
    <row r="8" spans="1:6" x14ac:dyDescent="0.3">
      <c r="A8" s="10">
        <v>6</v>
      </c>
      <c r="B8" s="149">
        <f t="shared" ca="1" si="1"/>
        <v>7</v>
      </c>
      <c r="C8" s="149">
        <f t="shared" ca="1" si="0"/>
        <v>5</v>
      </c>
      <c r="D8" s="149">
        <f t="shared" ca="1" si="0"/>
        <v>1</v>
      </c>
      <c r="E8" s="149">
        <f t="shared" ca="1" si="0"/>
        <v>3</v>
      </c>
    </row>
    <row r="9" spans="1:6" x14ac:dyDescent="0.3">
      <c r="A9" s="10">
        <v>7</v>
      </c>
      <c r="B9" s="149">
        <f t="shared" ca="1" si="1"/>
        <v>6</v>
      </c>
      <c r="C9" s="149">
        <f t="shared" ca="1" si="0"/>
        <v>8</v>
      </c>
      <c r="D9" s="149">
        <f t="shared" ca="1" si="0"/>
        <v>1</v>
      </c>
      <c r="E9" s="149">
        <f t="shared" ca="1" si="0"/>
        <v>7</v>
      </c>
    </row>
    <row r="10" spans="1:6" x14ac:dyDescent="0.3">
      <c r="A10" s="10">
        <v>8</v>
      </c>
      <c r="B10" s="149">
        <f t="shared" ca="1" si="1"/>
        <v>2</v>
      </c>
      <c r="C10" s="149">
        <f t="shared" ca="1" si="0"/>
        <v>1</v>
      </c>
      <c r="D10" s="149">
        <f t="shared" ca="1" si="0"/>
        <v>2</v>
      </c>
      <c r="E10" s="149">
        <f t="shared" ca="1" si="0"/>
        <v>3</v>
      </c>
    </row>
    <row r="11" spans="1:6" x14ac:dyDescent="0.3">
      <c r="A11" s="10">
        <v>9</v>
      </c>
      <c r="B11" s="149">
        <f t="shared" ca="1" si="1"/>
        <v>8</v>
      </c>
      <c r="C11" s="149">
        <f t="shared" ca="1" si="0"/>
        <v>6</v>
      </c>
      <c r="D11" s="149">
        <f t="shared" ca="1" si="0"/>
        <v>6</v>
      </c>
      <c r="E11" s="149">
        <f t="shared" ca="1" si="0"/>
        <v>4</v>
      </c>
    </row>
    <row r="12" spans="1:6" x14ac:dyDescent="0.3">
      <c r="A12" s="10">
        <v>10</v>
      </c>
      <c r="B12" s="149">
        <f t="shared" ca="1" si="1"/>
        <v>7</v>
      </c>
      <c r="C12" s="149">
        <f t="shared" ca="1" si="0"/>
        <v>2</v>
      </c>
      <c r="D12" s="149">
        <f t="shared" ca="1" si="0"/>
        <v>1</v>
      </c>
      <c r="E12" s="149">
        <f t="shared" ca="1" si="0"/>
        <v>5</v>
      </c>
    </row>
    <row r="13" spans="1:6" x14ac:dyDescent="0.3">
      <c r="A13" s="10">
        <v>11</v>
      </c>
      <c r="B13" s="149">
        <f t="shared" ca="1" si="1"/>
        <v>8</v>
      </c>
      <c r="C13" s="149">
        <f t="shared" ca="1" si="0"/>
        <v>6</v>
      </c>
      <c r="D13" s="149">
        <f t="shared" ca="1" si="0"/>
        <v>8</v>
      </c>
      <c r="E13" s="149">
        <f t="shared" ca="1" si="0"/>
        <v>1</v>
      </c>
    </row>
    <row r="14" spans="1:6" x14ac:dyDescent="0.3">
      <c r="A14" s="10">
        <v>12</v>
      </c>
      <c r="B14" s="149">
        <f t="shared" ca="1" si="1"/>
        <v>2</v>
      </c>
      <c r="C14" s="149">
        <f t="shared" ca="1" si="0"/>
        <v>4</v>
      </c>
      <c r="D14" s="149">
        <f t="shared" ca="1" si="0"/>
        <v>4</v>
      </c>
      <c r="E14" s="149">
        <f t="shared" ca="1" si="0"/>
        <v>5</v>
      </c>
    </row>
    <row r="15" spans="1:6" x14ac:dyDescent="0.3">
      <c r="A15" s="10">
        <v>13</v>
      </c>
      <c r="B15" s="149">
        <f t="shared" ca="1" si="1"/>
        <v>8</v>
      </c>
      <c r="C15" s="149">
        <f t="shared" ca="1" si="0"/>
        <v>5</v>
      </c>
      <c r="D15" s="149">
        <f t="shared" ca="1" si="0"/>
        <v>3</v>
      </c>
      <c r="E15" s="149">
        <f t="shared" ca="1" si="0"/>
        <v>2</v>
      </c>
    </row>
    <row r="16" spans="1:6" x14ac:dyDescent="0.3">
      <c r="A16" s="10">
        <v>14</v>
      </c>
      <c r="B16" s="149">
        <f t="shared" ca="1" si="1"/>
        <v>1</v>
      </c>
      <c r="C16" s="149">
        <f t="shared" ca="1" si="0"/>
        <v>1</v>
      </c>
      <c r="D16" s="149">
        <f t="shared" ca="1" si="0"/>
        <v>2</v>
      </c>
      <c r="E16" s="149">
        <f t="shared" ca="1" si="0"/>
        <v>7</v>
      </c>
    </row>
    <row r="17" spans="1:5" x14ac:dyDescent="0.3">
      <c r="A17" s="10">
        <v>15</v>
      </c>
      <c r="B17" s="149">
        <f t="shared" ca="1" si="1"/>
        <v>6</v>
      </c>
      <c r="C17" s="149">
        <f t="shared" ca="1" si="0"/>
        <v>6</v>
      </c>
      <c r="D17" s="149">
        <f t="shared" ca="1" si="0"/>
        <v>6</v>
      </c>
      <c r="E17" s="149">
        <f t="shared" ca="1" si="0"/>
        <v>5</v>
      </c>
    </row>
    <row r="18" spans="1:5" x14ac:dyDescent="0.3">
      <c r="A18" s="10">
        <v>16</v>
      </c>
      <c r="B18" s="149">
        <f t="shared" ca="1" si="1"/>
        <v>3</v>
      </c>
      <c r="C18" s="149">
        <f t="shared" ca="1" si="0"/>
        <v>5</v>
      </c>
      <c r="D18" s="149">
        <f t="shared" ca="1" si="0"/>
        <v>8</v>
      </c>
      <c r="E18" s="149">
        <f t="shared" ca="1" si="0"/>
        <v>4</v>
      </c>
    </row>
    <row r="19" spans="1:5" x14ac:dyDescent="0.3">
      <c r="A19" s="10">
        <v>17</v>
      </c>
      <c r="B19" s="149">
        <f t="shared" ca="1" si="1"/>
        <v>5</v>
      </c>
      <c r="C19" s="149">
        <f t="shared" ca="1" si="1"/>
        <v>8</v>
      </c>
      <c r="D19" s="149">
        <f t="shared" ca="1" si="1"/>
        <v>1</v>
      </c>
      <c r="E19" s="149">
        <f t="shared" ca="1" si="1"/>
        <v>8</v>
      </c>
    </row>
    <row r="20" spans="1:5" x14ac:dyDescent="0.3">
      <c r="A20" s="10">
        <v>18</v>
      </c>
      <c r="B20" s="149">
        <f t="shared" ca="1" si="1"/>
        <v>4</v>
      </c>
      <c r="C20" s="149">
        <f t="shared" ca="1" si="1"/>
        <v>8</v>
      </c>
      <c r="D20" s="149">
        <f t="shared" ca="1" si="1"/>
        <v>4</v>
      </c>
      <c r="E20" s="149">
        <f t="shared" ca="1" si="1"/>
        <v>7</v>
      </c>
    </row>
    <row r="21" spans="1:5" x14ac:dyDescent="0.3">
      <c r="A21" s="10">
        <v>19</v>
      </c>
      <c r="B21" s="149">
        <f t="shared" ca="1" si="1"/>
        <v>4</v>
      </c>
      <c r="C21" s="149">
        <f t="shared" ca="1" si="1"/>
        <v>6</v>
      </c>
      <c r="D21" s="149">
        <f t="shared" ca="1" si="1"/>
        <v>5</v>
      </c>
      <c r="E21" s="149">
        <f t="shared" ca="1" si="1"/>
        <v>6</v>
      </c>
    </row>
    <row r="22" spans="1:5" x14ac:dyDescent="0.3">
      <c r="A22" s="10">
        <v>20</v>
      </c>
      <c r="B22" s="149">
        <f t="shared" ca="1" si="1"/>
        <v>7</v>
      </c>
      <c r="C22" s="149">
        <f t="shared" ca="1" si="1"/>
        <v>3</v>
      </c>
      <c r="D22" s="149">
        <f t="shared" ca="1" si="1"/>
        <v>8</v>
      </c>
      <c r="E22" s="149">
        <f t="shared" ca="1" si="1"/>
        <v>4</v>
      </c>
    </row>
    <row r="23" spans="1:5" x14ac:dyDescent="0.3">
      <c r="A23" s="10">
        <v>21</v>
      </c>
      <c r="B23" s="149">
        <f t="shared" ca="1" si="1"/>
        <v>7</v>
      </c>
      <c r="C23" s="149">
        <f t="shared" ca="1" si="1"/>
        <v>1</v>
      </c>
      <c r="D23" s="149">
        <f t="shared" ca="1" si="1"/>
        <v>4</v>
      </c>
      <c r="E23" s="149">
        <f t="shared" ca="1" si="1"/>
        <v>4</v>
      </c>
    </row>
    <row r="24" spans="1:5" x14ac:dyDescent="0.3">
      <c r="A24" s="10">
        <v>22</v>
      </c>
      <c r="B24" s="149">
        <f t="shared" ca="1" si="1"/>
        <v>6</v>
      </c>
      <c r="C24" s="149">
        <f t="shared" ca="1" si="1"/>
        <v>2</v>
      </c>
      <c r="D24" s="149">
        <f t="shared" ca="1" si="1"/>
        <v>1</v>
      </c>
      <c r="E24" s="149">
        <f t="shared" ca="1" si="1"/>
        <v>3</v>
      </c>
    </row>
    <row r="25" spans="1:5" x14ac:dyDescent="0.3">
      <c r="A25" s="10">
        <v>23</v>
      </c>
      <c r="B25" s="149">
        <f t="shared" ca="1" si="1"/>
        <v>6</v>
      </c>
      <c r="C25" s="149">
        <f t="shared" ca="1" si="1"/>
        <v>8</v>
      </c>
      <c r="D25" s="149">
        <f t="shared" ca="1" si="1"/>
        <v>4</v>
      </c>
      <c r="E25" s="149">
        <f t="shared" ca="1" si="1"/>
        <v>4</v>
      </c>
    </row>
    <row r="26" spans="1:5" x14ac:dyDescent="0.3">
      <c r="A26" s="10">
        <v>24</v>
      </c>
      <c r="B26" s="149">
        <f t="shared" ca="1" si="1"/>
        <v>5</v>
      </c>
      <c r="C26" s="149">
        <f t="shared" ca="1" si="1"/>
        <v>3</v>
      </c>
      <c r="D26" s="149">
        <f t="shared" ca="1" si="1"/>
        <v>6</v>
      </c>
      <c r="E26" s="149">
        <f t="shared" ca="1" si="1"/>
        <v>5</v>
      </c>
    </row>
    <row r="27" spans="1:5" x14ac:dyDescent="0.3">
      <c r="A27" s="10">
        <v>25</v>
      </c>
      <c r="B27" s="149">
        <f t="shared" ca="1" si="1"/>
        <v>8</v>
      </c>
      <c r="C27" s="149">
        <f t="shared" ca="1" si="1"/>
        <v>3</v>
      </c>
      <c r="D27" s="149">
        <f t="shared" ca="1" si="1"/>
        <v>3</v>
      </c>
      <c r="E27" s="149">
        <f t="shared" ca="1" si="1"/>
        <v>2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sqref="A1:G27"/>
    </sheetView>
  </sheetViews>
  <sheetFormatPr defaultRowHeight="18.75" x14ac:dyDescent="0.3"/>
  <cols>
    <col min="1" max="1" width="7" style="17" customWidth="1"/>
    <col min="2" max="2" width="10.7109375" style="17" customWidth="1"/>
    <col min="3" max="3" width="10.5703125" style="17" customWidth="1"/>
    <col min="4" max="4" width="11.85546875" style="17" customWidth="1"/>
    <col min="5" max="5" width="13.140625" style="17" customWidth="1"/>
    <col min="6" max="6" width="10.42578125" style="17" bestFit="1" customWidth="1"/>
    <col min="7" max="16384" width="9.140625" style="17"/>
  </cols>
  <sheetData>
    <row r="1" spans="1:7" ht="19.5" customHeight="1" x14ac:dyDescent="0.35">
      <c r="A1" s="243" t="s">
        <v>204</v>
      </c>
      <c r="B1" s="247" t="s">
        <v>221</v>
      </c>
      <c r="C1" s="248"/>
      <c r="D1" s="249"/>
      <c r="E1" s="246" t="s">
        <v>143</v>
      </c>
      <c r="F1" s="250"/>
      <c r="G1" s="250"/>
    </row>
    <row r="2" spans="1:7" s="147" customFormat="1" ht="40.5" customHeight="1" x14ac:dyDescent="0.35">
      <c r="A2" s="244"/>
      <c r="B2" s="148" t="s">
        <v>218</v>
      </c>
      <c r="C2" s="108" t="s">
        <v>219</v>
      </c>
      <c r="D2" s="108" t="s">
        <v>220</v>
      </c>
      <c r="E2" s="108" t="s">
        <v>218</v>
      </c>
      <c r="F2" s="108" t="s">
        <v>219</v>
      </c>
      <c r="G2" s="108" t="s">
        <v>220</v>
      </c>
    </row>
    <row r="3" spans="1:7" x14ac:dyDescent="0.3">
      <c r="A3" s="10">
        <v>1</v>
      </c>
      <c r="B3" s="11">
        <f ca="1">50*RAND()+60</f>
        <v>93.947087972717043</v>
      </c>
      <c r="C3" s="11">
        <f t="shared" ref="C3:D18" ca="1" si="0">50*RAND()+60</f>
        <v>81.573923696970894</v>
      </c>
      <c r="D3" s="11">
        <f t="shared" ca="1" si="0"/>
        <v>61.217939030127908</v>
      </c>
      <c r="E3" s="149">
        <f ca="1">RANDBETWEEN(130,170)</f>
        <v>140</v>
      </c>
      <c r="F3" s="149">
        <f t="shared" ref="F3:G18" ca="1" si="1">RANDBETWEEN(130,170)</f>
        <v>137</v>
      </c>
      <c r="G3" s="149">
        <f t="shared" ca="1" si="1"/>
        <v>158</v>
      </c>
    </row>
    <row r="4" spans="1:7" x14ac:dyDescent="0.3">
      <c r="A4" s="10">
        <v>2</v>
      </c>
      <c r="B4" s="11">
        <f t="shared" ref="B4:D27" ca="1" si="2">50*RAND()+60</f>
        <v>81.875875845650214</v>
      </c>
      <c r="C4" s="11">
        <f t="shared" ca="1" si="0"/>
        <v>64.053271236264493</v>
      </c>
      <c r="D4" s="11">
        <f t="shared" ca="1" si="0"/>
        <v>78.148544699801832</v>
      </c>
      <c r="E4" s="149">
        <f t="shared" ref="E4:G27" ca="1" si="3">RANDBETWEEN(130,170)</f>
        <v>160</v>
      </c>
      <c r="F4" s="149">
        <f t="shared" ca="1" si="1"/>
        <v>150</v>
      </c>
      <c r="G4" s="149">
        <f t="shared" ca="1" si="1"/>
        <v>140</v>
      </c>
    </row>
    <row r="5" spans="1:7" x14ac:dyDescent="0.3">
      <c r="A5" s="10">
        <v>3</v>
      </c>
      <c r="B5" s="11">
        <f t="shared" ca="1" si="2"/>
        <v>81.113434999433878</v>
      </c>
      <c r="C5" s="11">
        <f t="shared" ca="1" si="0"/>
        <v>103.72656113158844</v>
      </c>
      <c r="D5" s="11">
        <f t="shared" ca="1" si="0"/>
        <v>70.498521957795944</v>
      </c>
      <c r="E5" s="149">
        <f t="shared" ca="1" si="3"/>
        <v>138</v>
      </c>
      <c r="F5" s="149">
        <f t="shared" ca="1" si="1"/>
        <v>151</v>
      </c>
      <c r="G5" s="149">
        <f t="shared" ca="1" si="1"/>
        <v>153</v>
      </c>
    </row>
    <row r="6" spans="1:7" x14ac:dyDescent="0.3">
      <c r="A6" s="10">
        <v>4</v>
      </c>
      <c r="B6" s="11">
        <f t="shared" ca="1" si="2"/>
        <v>91.057522508471664</v>
      </c>
      <c r="C6" s="11">
        <f t="shared" ca="1" si="0"/>
        <v>78.217485119354308</v>
      </c>
      <c r="D6" s="11">
        <f t="shared" ca="1" si="0"/>
        <v>76.114866526120636</v>
      </c>
      <c r="E6" s="149">
        <f t="shared" ca="1" si="3"/>
        <v>164</v>
      </c>
      <c r="F6" s="149">
        <f t="shared" ca="1" si="1"/>
        <v>146</v>
      </c>
      <c r="G6" s="149">
        <f t="shared" ca="1" si="1"/>
        <v>167</v>
      </c>
    </row>
    <row r="7" spans="1:7" x14ac:dyDescent="0.3">
      <c r="A7" s="10">
        <v>5</v>
      </c>
      <c r="B7" s="11">
        <f t="shared" ca="1" si="2"/>
        <v>73.501531634811499</v>
      </c>
      <c r="C7" s="11">
        <f t="shared" ca="1" si="0"/>
        <v>60.759366460512595</v>
      </c>
      <c r="D7" s="11">
        <f t="shared" ca="1" si="0"/>
        <v>79.654615440356338</v>
      </c>
      <c r="E7" s="149">
        <f t="shared" ca="1" si="3"/>
        <v>155</v>
      </c>
      <c r="F7" s="149">
        <f t="shared" ca="1" si="1"/>
        <v>150</v>
      </c>
      <c r="G7" s="149">
        <f t="shared" ca="1" si="1"/>
        <v>137</v>
      </c>
    </row>
    <row r="8" spans="1:7" x14ac:dyDescent="0.3">
      <c r="A8" s="10">
        <v>6</v>
      </c>
      <c r="B8" s="11">
        <f t="shared" ca="1" si="2"/>
        <v>83.832208839158383</v>
      </c>
      <c r="C8" s="11">
        <f t="shared" ca="1" si="0"/>
        <v>100.87937457147189</v>
      </c>
      <c r="D8" s="11">
        <f t="shared" ca="1" si="0"/>
        <v>64.459187384512518</v>
      </c>
      <c r="E8" s="149">
        <f t="shared" ca="1" si="3"/>
        <v>142</v>
      </c>
      <c r="F8" s="149">
        <f t="shared" ca="1" si="1"/>
        <v>158</v>
      </c>
      <c r="G8" s="149">
        <f t="shared" ca="1" si="1"/>
        <v>132</v>
      </c>
    </row>
    <row r="9" spans="1:7" x14ac:dyDescent="0.3">
      <c r="A9" s="10">
        <v>7</v>
      </c>
      <c r="B9" s="11">
        <f t="shared" ca="1" si="2"/>
        <v>86.627230909266231</v>
      </c>
      <c r="C9" s="11">
        <f t="shared" ca="1" si="0"/>
        <v>97.696973865572375</v>
      </c>
      <c r="D9" s="11">
        <f t="shared" ca="1" si="0"/>
        <v>86.168579808197961</v>
      </c>
      <c r="E9" s="149">
        <f t="shared" ca="1" si="3"/>
        <v>159</v>
      </c>
      <c r="F9" s="149">
        <f t="shared" ca="1" si="1"/>
        <v>153</v>
      </c>
      <c r="G9" s="149">
        <f t="shared" ca="1" si="1"/>
        <v>170</v>
      </c>
    </row>
    <row r="10" spans="1:7" x14ac:dyDescent="0.3">
      <c r="A10" s="10">
        <v>8</v>
      </c>
      <c r="B10" s="11">
        <f t="shared" ca="1" si="2"/>
        <v>100.11798925285316</v>
      </c>
      <c r="C10" s="11">
        <f t="shared" ca="1" si="0"/>
        <v>69.685707711918297</v>
      </c>
      <c r="D10" s="11">
        <f t="shared" ca="1" si="0"/>
        <v>97.928886782977074</v>
      </c>
      <c r="E10" s="149">
        <f t="shared" ca="1" si="3"/>
        <v>152</v>
      </c>
      <c r="F10" s="149">
        <f t="shared" ca="1" si="1"/>
        <v>143</v>
      </c>
      <c r="G10" s="149">
        <f t="shared" ca="1" si="1"/>
        <v>153</v>
      </c>
    </row>
    <row r="11" spans="1:7" x14ac:dyDescent="0.3">
      <c r="A11" s="10">
        <v>9</v>
      </c>
      <c r="B11" s="11">
        <f t="shared" ca="1" si="2"/>
        <v>72.481319570376868</v>
      </c>
      <c r="C11" s="11">
        <f t="shared" ca="1" si="0"/>
        <v>72.978562828360424</v>
      </c>
      <c r="D11" s="11">
        <f t="shared" ca="1" si="0"/>
        <v>70.800721065242797</v>
      </c>
      <c r="E11" s="149">
        <f t="shared" ca="1" si="3"/>
        <v>155</v>
      </c>
      <c r="F11" s="149">
        <f t="shared" ca="1" si="1"/>
        <v>152</v>
      </c>
      <c r="G11" s="149">
        <f t="shared" ca="1" si="1"/>
        <v>141</v>
      </c>
    </row>
    <row r="12" spans="1:7" x14ac:dyDescent="0.3">
      <c r="A12" s="10">
        <v>10</v>
      </c>
      <c r="B12" s="11">
        <f t="shared" ca="1" si="2"/>
        <v>102.9437918870147</v>
      </c>
      <c r="C12" s="11">
        <f t="shared" ca="1" si="0"/>
        <v>62.509387384406452</v>
      </c>
      <c r="D12" s="11">
        <f t="shared" ca="1" si="0"/>
        <v>61.555220750901299</v>
      </c>
      <c r="E12" s="149">
        <f t="shared" ca="1" si="3"/>
        <v>166</v>
      </c>
      <c r="F12" s="149">
        <f t="shared" ca="1" si="1"/>
        <v>144</v>
      </c>
      <c r="G12" s="149">
        <f t="shared" ca="1" si="1"/>
        <v>135</v>
      </c>
    </row>
    <row r="13" spans="1:7" x14ac:dyDescent="0.3">
      <c r="A13" s="10">
        <v>11</v>
      </c>
      <c r="B13" s="11">
        <f t="shared" ca="1" si="2"/>
        <v>71.351323914449495</v>
      </c>
      <c r="C13" s="11">
        <f t="shared" ca="1" si="0"/>
        <v>71.316324218627329</v>
      </c>
      <c r="D13" s="11">
        <f t="shared" ca="1" si="0"/>
        <v>76.879093469865978</v>
      </c>
      <c r="E13" s="149">
        <f t="shared" ca="1" si="3"/>
        <v>168</v>
      </c>
      <c r="F13" s="149">
        <f t="shared" ca="1" si="1"/>
        <v>131</v>
      </c>
      <c r="G13" s="149">
        <f t="shared" ca="1" si="1"/>
        <v>163</v>
      </c>
    </row>
    <row r="14" spans="1:7" x14ac:dyDescent="0.3">
      <c r="A14" s="10">
        <v>12</v>
      </c>
      <c r="B14" s="11">
        <f t="shared" ca="1" si="2"/>
        <v>74.618346140669189</v>
      </c>
      <c r="C14" s="11">
        <f t="shared" ca="1" si="0"/>
        <v>87.508457542143631</v>
      </c>
      <c r="D14" s="11">
        <f t="shared" ca="1" si="0"/>
        <v>81.061922364088701</v>
      </c>
      <c r="E14" s="149">
        <f t="shared" ca="1" si="3"/>
        <v>147</v>
      </c>
      <c r="F14" s="149">
        <f t="shared" ca="1" si="1"/>
        <v>158</v>
      </c>
      <c r="G14" s="149">
        <f t="shared" ca="1" si="1"/>
        <v>142</v>
      </c>
    </row>
    <row r="15" spans="1:7" x14ac:dyDescent="0.3">
      <c r="A15" s="10">
        <v>13</v>
      </c>
      <c r="B15" s="11">
        <f t="shared" ca="1" si="2"/>
        <v>70.403019342271904</v>
      </c>
      <c r="C15" s="11">
        <f t="shared" ca="1" si="0"/>
        <v>88.376189281489928</v>
      </c>
      <c r="D15" s="11">
        <f t="shared" ca="1" si="0"/>
        <v>93.134113887380622</v>
      </c>
      <c r="E15" s="149">
        <f t="shared" ca="1" si="3"/>
        <v>136</v>
      </c>
      <c r="F15" s="149">
        <f t="shared" ca="1" si="1"/>
        <v>150</v>
      </c>
      <c r="G15" s="149">
        <f t="shared" ca="1" si="1"/>
        <v>131</v>
      </c>
    </row>
    <row r="16" spans="1:7" x14ac:dyDescent="0.3">
      <c r="A16" s="10">
        <v>14</v>
      </c>
      <c r="B16" s="11">
        <f t="shared" ca="1" si="2"/>
        <v>66.638784958760496</v>
      </c>
      <c r="C16" s="11">
        <f t="shared" ca="1" si="0"/>
        <v>68.878984038524237</v>
      </c>
      <c r="D16" s="11">
        <f t="shared" ca="1" si="0"/>
        <v>66.919047757057626</v>
      </c>
      <c r="E16" s="149">
        <f t="shared" ca="1" si="3"/>
        <v>146</v>
      </c>
      <c r="F16" s="149">
        <f t="shared" ca="1" si="1"/>
        <v>155</v>
      </c>
      <c r="G16" s="149">
        <f t="shared" ca="1" si="1"/>
        <v>148</v>
      </c>
    </row>
    <row r="17" spans="1:7" x14ac:dyDescent="0.3">
      <c r="A17" s="10">
        <v>15</v>
      </c>
      <c r="B17" s="11">
        <f t="shared" ca="1" si="2"/>
        <v>108.15028235914323</v>
      </c>
      <c r="C17" s="11">
        <f t="shared" ca="1" si="0"/>
        <v>97.053591561284364</v>
      </c>
      <c r="D17" s="11">
        <f t="shared" ca="1" si="0"/>
        <v>105.77370811666893</v>
      </c>
      <c r="E17" s="149">
        <f t="shared" ca="1" si="3"/>
        <v>170</v>
      </c>
      <c r="F17" s="149">
        <f t="shared" ca="1" si="1"/>
        <v>165</v>
      </c>
      <c r="G17" s="149">
        <f t="shared" ca="1" si="1"/>
        <v>146</v>
      </c>
    </row>
    <row r="18" spans="1:7" x14ac:dyDescent="0.3">
      <c r="A18" s="10">
        <v>16</v>
      </c>
      <c r="B18" s="11">
        <f t="shared" ca="1" si="2"/>
        <v>62.060569648540842</v>
      </c>
      <c r="C18" s="11">
        <f t="shared" ca="1" si="0"/>
        <v>78.469503230562708</v>
      </c>
      <c r="D18" s="11">
        <f t="shared" ca="1" si="0"/>
        <v>103.48127199895484</v>
      </c>
      <c r="E18" s="149">
        <f t="shared" ca="1" si="3"/>
        <v>161</v>
      </c>
      <c r="F18" s="149">
        <f t="shared" ca="1" si="1"/>
        <v>163</v>
      </c>
      <c r="G18" s="149">
        <f t="shared" ca="1" si="1"/>
        <v>165</v>
      </c>
    </row>
    <row r="19" spans="1:7" x14ac:dyDescent="0.3">
      <c r="A19" s="10">
        <v>17</v>
      </c>
      <c r="B19" s="11">
        <f t="shared" ca="1" si="2"/>
        <v>96.217626919602935</v>
      </c>
      <c r="C19" s="11">
        <f t="shared" ca="1" si="2"/>
        <v>84.198444990675341</v>
      </c>
      <c r="D19" s="11">
        <f t="shared" ca="1" si="2"/>
        <v>62.334233273631874</v>
      </c>
      <c r="E19" s="149">
        <f t="shared" ca="1" si="3"/>
        <v>163</v>
      </c>
      <c r="F19" s="149">
        <f t="shared" ca="1" si="3"/>
        <v>160</v>
      </c>
      <c r="G19" s="149">
        <f t="shared" ca="1" si="3"/>
        <v>151</v>
      </c>
    </row>
    <row r="20" spans="1:7" x14ac:dyDescent="0.3">
      <c r="A20" s="10">
        <v>18</v>
      </c>
      <c r="B20" s="11">
        <f t="shared" ca="1" si="2"/>
        <v>91.643418896902361</v>
      </c>
      <c r="C20" s="11">
        <f t="shared" ca="1" si="2"/>
        <v>83.823850753779993</v>
      </c>
      <c r="D20" s="11">
        <f t="shared" ca="1" si="2"/>
        <v>87.952790861112817</v>
      </c>
      <c r="E20" s="149">
        <f t="shared" ca="1" si="3"/>
        <v>158</v>
      </c>
      <c r="F20" s="149">
        <f t="shared" ca="1" si="3"/>
        <v>132</v>
      </c>
      <c r="G20" s="149">
        <f t="shared" ca="1" si="3"/>
        <v>159</v>
      </c>
    </row>
    <row r="21" spans="1:7" x14ac:dyDescent="0.3">
      <c r="A21" s="10">
        <v>19</v>
      </c>
      <c r="B21" s="11">
        <f t="shared" ca="1" si="2"/>
        <v>90.54600617858793</v>
      </c>
      <c r="C21" s="11">
        <f t="shared" ca="1" si="2"/>
        <v>107.57232858633022</v>
      </c>
      <c r="D21" s="11">
        <f t="shared" ca="1" si="2"/>
        <v>74.856696650708017</v>
      </c>
      <c r="E21" s="149">
        <f t="shared" ca="1" si="3"/>
        <v>142</v>
      </c>
      <c r="F21" s="149">
        <f t="shared" ca="1" si="3"/>
        <v>159</v>
      </c>
      <c r="G21" s="149">
        <f t="shared" ca="1" si="3"/>
        <v>136</v>
      </c>
    </row>
    <row r="22" spans="1:7" x14ac:dyDescent="0.3">
      <c r="A22" s="10">
        <v>20</v>
      </c>
      <c r="B22" s="11">
        <f t="shared" ca="1" si="2"/>
        <v>84.81620726465988</v>
      </c>
      <c r="C22" s="11">
        <f t="shared" ca="1" si="2"/>
        <v>100.78627917955566</v>
      </c>
      <c r="D22" s="11">
        <f t="shared" ca="1" si="2"/>
        <v>80.160102544206325</v>
      </c>
      <c r="E22" s="149">
        <f t="shared" ca="1" si="3"/>
        <v>157</v>
      </c>
      <c r="F22" s="149">
        <f t="shared" ca="1" si="3"/>
        <v>162</v>
      </c>
      <c r="G22" s="149">
        <f t="shared" ca="1" si="3"/>
        <v>165</v>
      </c>
    </row>
    <row r="23" spans="1:7" x14ac:dyDescent="0.3">
      <c r="A23" s="10">
        <v>21</v>
      </c>
      <c r="B23" s="11">
        <f t="shared" ca="1" si="2"/>
        <v>86.315523100252236</v>
      </c>
      <c r="C23" s="11">
        <f t="shared" ca="1" si="2"/>
        <v>91.801169778267194</v>
      </c>
      <c r="D23" s="11">
        <f t="shared" ca="1" si="2"/>
        <v>62.949179081609458</v>
      </c>
      <c r="E23" s="149">
        <f t="shared" ca="1" si="3"/>
        <v>132</v>
      </c>
      <c r="F23" s="149">
        <f t="shared" ca="1" si="3"/>
        <v>166</v>
      </c>
      <c r="G23" s="149">
        <f t="shared" ca="1" si="3"/>
        <v>132</v>
      </c>
    </row>
    <row r="24" spans="1:7" x14ac:dyDescent="0.3">
      <c r="A24" s="10">
        <v>22</v>
      </c>
      <c r="B24" s="11">
        <f t="shared" ca="1" si="2"/>
        <v>89.565620699271989</v>
      </c>
      <c r="C24" s="11">
        <f t="shared" ca="1" si="2"/>
        <v>109.85276024226366</v>
      </c>
      <c r="D24" s="11">
        <f t="shared" ca="1" si="2"/>
        <v>100.773312091327</v>
      </c>
      <c r="E24" s="149">
        <f t="shared" ca="1" si="3"/>
        <v>161</v>
      </c>
      <c r="F24" s="149">
        <f t="shared" ca="1" si="3"/>
        <v>152</v>
      </c>
      <c r="G24" s="149">
        <f t="shared" ca="1" si="3"/>
        <v>157</v>
      </c>
    </row>
    <row r="25" spans="1:7" x14ac:dyDescent="0.3">
      <c r="A25" s="10">
        <v>23</v>
      </c>
      <c r="B25" s="11">
        <f t="shared" ca="1" si="2"/>
        <v>94.678279765439839</v>
      </c>
      <c r="C25" s="11">
        <f t="shared" ca="1" si="2"/>
        <v>109.29877297996313</v>
      </c>
      <c r="D25" s="11">
        <f t="shared" ca="1" si="2"/>
        <v>97.436245406581932</v>
      </c>
      <c r="E25" s="149">
        <f t="shared" ca="1" si="3"/>
        <v>162</v>
      </c>
      <c r="F25" s="149">
        <f t="shared" ca="1" si="3"/>
        <v>163</v>
      </c>
      <c r="G25" s="149">
        <f t="shared" ca="1" si="3"/>
        <v>143</v>
      </c>
    </row>
    <row r="26" spans="1:7" x14ac:dyDescent="0.3">
      <c r="A26" s="10">
        <v>24</v>
      </c>
      <c r="B26" s="11">
        <f t="shared" ca="1" si="2"/>
        <v>90.632090112752124</v>
      </c>
      <c r="C26" s="11">
        <f t="shared" ca="1" si="2"/>
        <v>98.600619024332133</v>
      </c>
      <c r="D26" s="11">
        <f t="shared" ca="1" si="2"/>
        <v>105.6975454054341</v>
      </c>
      <c r="E26" s="149">
        <f t="shared" ca="1" si="3"/>
        <v>170</v>
      </c>
      <c r="F26" s="149">
        <f t="shared" ca="1" si="3"/>
        <v>170</v>
      </c>
      <c r="G26" s="149">
        <f t="shared" ca="1" si="3"/>
        <v>135</v>
      </c>
    </row>
    <row r="27" spans="1:7" x14ac:dyDescent="0.3">
      <c r="A27" s="10">
        <v>25</v>
      </c>
      <c r="B27" s="11">
        <f t="shared" ca="1" si="2"/>
        <v>73.842909897954684</v>
      </c>
      <c r="C27" s="11">
        <f t="shared" ca="1" si="2"/>
        <v>102.79381637738823</v>
      </c>
      <c r="D27" s="11">
        <f t="shared" ca="1" si="2"/>
        <v>87.965901189926143</v>
      </c>
      <c r="E27" s="149">
        <f t="shared" ca="1" si="3"/>
        <v>140</v>
      </c>
      <c r="F27" s="149">
        <f t="shared" ca="1" si="3"/>
        <v>130</v>
      </c>
      <c r="G27" s="149">
        <f t="shared" ca="1" si="3"/>
        <v>156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workbookViewId="0">
      <selection activeCell="B2" sqref="B2:G29"/>
    </sheetView>
  </sheetViews>
  <sheetFormatPr defaultRowHeight="20.25" x14ac:dyDescent="0.3"/>
  <cols>
    <col min="1" max="16384" width="9.140625" style="24"/>
  </cols>
  <sheetData>
    <row r="2" spans="2:7" ht="24.75" x14ac:dyDescent="0.45">
      <c r="B2" s="251" t="s">
        <v>204</v>
      </c>
      <c r="C2" s="253" t="s">
        <v>225</v>
      </c>
      <c r="D2" s="254"/>
      <c r="E2" s="254"/>
      <c r="F2" s="254"/>
      <c r="G2" s="255"/>
    </row>
    <row r="3" spans="2:7" x14ac:dyDescent="0.3">
      <c r="B3" s="251"/>
      <c r="C3" s="151" t="s">
        <v>222</v>
      </c>
      <c r="D3" s="151" t="s">
        <v>19</v>
      </c>
      <c r="E3" s="151" t="s">
        <v>20</v>
      </c>
      <c r="F3" s="151" t="s">
        <v>22</v>
      </c>
      <c r="G3" s="151" t="s">
        <v>223</v>
      </c>
    </row>
    <row r="4" spans="2:7" x14ac:dyDescent="0.3">
      <c r="B4" s="252"/>
      <c r="C4" s="253" t="s">
        <v>224</v>
      </c>
      <c r="D4" s="254"/>
      <c r="E4" s="254"/>
      <c r="F4" s="254"/>
      <c r="G4" s="255"/>
    </row>
    <row r="5" spans="2:7" x14ac:dyDescent="0.3">
      <c r="B5" s="26">
        <v>1</v>
      </c>
      <c r="C5" s="152">
        <f ca="1">RANDBETWEEN(10,50)</f>
        <v>23</v>
      </c>
      <c r="D5" s="152">
        <f t="shared" ref="D5:G20" ca="1" si="0">RANDBETWEEN(10,50)</f>
        <v>43</v>
      </c>
      <c r="E5" s="152">
        <f t="shared" ca="1" si="0"/>
        <v>26</v>
      </c>
      <c r="F5" s="152">
        <f t="shared" ca="1" si="0"/>
        <v>36</v>
      </c>
      <c r="G5" s="152">
        <f t="shared" ca="1" si="0"/>
        <v>10</v>
      </c>
    </row>
    <row r="6" spans="2:7" x14ac:dyDescent="0.3">
      <c r="B6" s="26">
        <v>2</v>
      </c>
      <c r="C6" s="152">
        <f t="shared" ref="C6:G29" ca="1" si="1">RANDBETWEEN(10,50)</f>
        <v>20</v>
      </c>
      <c r="D6" s="152">
        <f t="shared" ca="1" si="0"/>
        <v>41</v>
      </c>
      <c r="E6" s="152">
        <f t="shared" ca="1" si="0"/>
        <v>50</v>
      </c>
      <c r="F6" s="152">
        <f t="shared" ca="1" si="0"/>
        <v>41</v>
      </c>
      <c r="G6" s="152">
        <f t="shared" ca="1" si="0"/>
        <v>24</v>
      </c>
    </row>
    <row r="7" spans="2:7" x14ac:dyDescent="0.3">
      <c r="B7" s="26">
        <v>3</v>
      </c>
      <c r="C7" s="152">
        <f t="shared" ca="1" si="1"/>
        <v>40</v>
      </c>
      <c r="D7" s="152">
        <f t="shared" ca="1" si="0"/>
        <v>15</v>
      </c>
      <c r="E7" s="152">
        <f t="shared" ca="1" si="0"/>
        <v>33</v>
      </c>
      <c r="F7" s="152">
        <f t="shared" ca="1" si="0"/>
        <v>48</v>
      </c>
      <c r="G7" s="152">
        <f t="shared" ca="1" si="0"/>
        <v>15</v>
      </c>
    </row>
    <row r="8" spans="2:7" x14ac:dyDescent="0.3">
      <c r="B8" s="26">
        <v>4</v>
      </c>
      <c r="C8" s="152">
        <f t="shared" ca="1" si="1"/>
        <v>36</v>
      </c>
      <c r="D8" s="152">
        <f t="shared" ca="1" si="0"/>
        <v>29</v>
      </c>
      <c r="E8" s="152">
        <f t="shared" ca="1" si="0"/>
        <v>31</v>
      </c>
      <c r="F8" s="152">
        <f t="shared" ca="1" si="0"/>
        <v>28</v>
      </c>
      <c r="G8" s="152">
        <f t="shared" ca="1" si="0"/>
        <v>12</v>
      </c>
    </row>
    <row r="9" spans="2:7" x14ac:dyDescent="0.3">
      <c r="B9" s="26">
        <v>5</v>
      </c>
      <c r="C9" s="152">
        <f t="shared" ca="1" si="1"/>
        <v>13</v>
      </c>
      <c r="D9" s="152">
        <f t="shared" ca="1" si="0"/>
        <v>10</v>
      </c>
      <c r="E9" s="152">
        <f t="shared" ca="1" si="0"/>
        <v>48</v>
      </c>
      <c r="F9" s="152">
        <f t="shared" ca="1" si="0"/>
        <v>15</v>
      </c>
      <c r="G9" s="152">
        <f t="shared" ca="1" si="0"/>
        <v>47</v>
      </c>
    </row>
    <row r="10" spans="2:7" x14ac:dyDescent="0.3">
      <c r="B10" s="26">
        <v>6</v>
      </c>
      <c r="C10" s="152">
        <f t="shared" ca="1" si="1"/>
        <v>26</v>
      </c>
      <c r="D10" s="152">
        <f t="shared" ca="1" si="0"/>
        <v>13</v>
      </c>
      <c r="E10" s="152">
        <f t="shared" ca="1" si="0"/>
        <v>29</v>
      </c>
      <c r="F10" s="152">
        <f t="shared" ca="1" si="0"/>
        <v>47</v>
      </c>
      <c r="G10" s="152">
        <f t="shared" ca="1" si="0"/>
        <v>34</v>
      </c>
    </row>
    <row r="11" spans="2:7" x14ac:dyDescent="0.3">
      <c r="B11" s="26">
        <v>7</v>
      </c>
      <c r="C11" s="152">
        <f t="shared" ca="1" si="1"/>
        <v>45</v>
      </c>
      <c r="D11" s="152">
        <f t="shared" ca="1" si="0"/>
        <v>26</v>
      </c>
      <c r="E11" s="152">
        <f t="shared" ca="1" si="0"/>
        <v>29</v>
      </c>
      <c r="F11" s="152">
        <f t="shared" ca="1" si="0"/>
        <v>38</v>
      </c>
      <c r="G11" s="152">
        <f t="shared" ca="1" si="0"/>
        <v>33</v>
      </c>
    </row>
    <row r="12" spans="2:7" x14ac:dyDescent="0.3">
      <c r="B12" s="26">
        <v>8</v>
      </c>
      <c r="C12" s="152">
        <f t="shared" ca="1" si="1"/>
        <v>35</v>
      </c>
      <c r="D12" s="152">
        <f t="shared" ca="1" si="0"/>
        <v>43</v>
      </c>
      <c r="E12" s="152">
        <f t="shared" ca="1" si="0"/>
        <v>19</v>
      </c>
      <c r="F12" s="152">
        <f t="shared" ca="1" si="0"/>
        <v>44</v>
      </c>
      <c r="G12" s="152">
        <f t="shared" ca="1" si="0"/>
        <v>47</v>
      </c>
    </row>
    <row r="13" spans="2:7" x14ac:dyDescent="0.3">
      <c r="B13" s="26">
        <v>9</v>
      </c>
      <c r="C13" s="152">
        <f t="shared" ca="1" si="1"/>
        <v>34</v>
      </c>
      <c r="D13" s="152">
        <f t="shared" ca="1" si="0"/>
        <v>40</v>
      </c>
      <c r="E13" s="152">
        <f t="shared" ca="1" si="0"/>
        <v>50</v>
      </c>
      <c r="F13" s="152">
        <f t="shared" ca="1" si="0"/>
        <v>32</v>
      </c>
      <c r="G13" s="152">
        <f t="shared" ca="1" si="0"/>
        <v>33</v>
      </c>
    </row>
    <row r="14" spans="2:7" x14ac:dyDescent="0.3">
      <c r="B14" s="26">
        <v>10</v>
      </c>
      <c r="C14" s="152">
        <f t="shared" ca="1" si="1"/>
        <v>14</v>
      </c>
      <c r="D14" s="152">
        <f t="shared" ca="1" si="0"/>
        <v>42</v>
      </c>
      <c r="E14" s="152">
        <f t="shared" ca="1" si="0"/>
        <v>21</v>
      </c>
      <c r="F14" s="152">
        <f t="shared" ca="1" si="0"/>
        <v>27</v>
      </c>
      <c r="G14" s="152">
        <f t="shared" ca="1" si="0"/>
        <v>16</v>
      </c>
    </row>
    <row r="15" spans="2:7" x14ac:dyDescent="0.3">
      <c r="B15" s="26">
        <v>11</v>
      </c>
      <c r="C15" s="152">
        <f t="shared" ca="1" si="1"/>
        <v>25</v>
      </c>
      <c r="D15" s="152">
        <f t="shared" ca="1" si="0"/>
        <v>31</v>
      </c>
      <c r="E15" s="152">
        <f t="shared" ca="1" si="0"/>
        <v>25</v>
      </c>
      <c r="F15" s="152">
        <f t="shared" ca="1" si="0"/>
        <v>49</v>
      </c>
      <c r="G15" s="152">
        <f t="shared" ca="1" si="0"/>
        <v>37</v>
      </c>
    </row>
    <row r="16" spans="2:7" x14ac:dyDescent="0.3">
      <c r="B16" s="26">
        <v>12</v>
      </c>
      <c r="C16" s="152">
        <f t="shared" ca="1" si="1"/>
        <v>43</v>
      </c>
      <c r="D16" s="152">
        <f t="shared" ca="1" si="0"/>
        <v>11</v>
      </c>
      <c r="E16" s="152">
        <f t="shared" ca="1" si="0"/>
        <v>27</v>
      </c>
      <c r="F16" s="152">
        <f t="shared" ca="1" si="0"/>
        <v>31</v>
      </c>
      <c r="G16" s="152">
        <f t="shared" ca="1" si="0"/>
        <v>12</v>
      </c>
    </row>
    <row r="17" spans="2:7" x14ac:dyDescent="0.3">
      <c r="B17" s="26">
        <v>13</v>
      </c>
      <c r="C17" s="152">
        <f t="shared" ca="1" si="1"/>
        <v>33</v>
      </c>
      <c r="D17" s="152">
        <f t="shared" ca="1" si="0"/>
        <v>20</v>
      </c>
      <c r="E17" s="152">
        <f t="shared" ca="1" si="0"/>
        <v>22</v>
      </c>
      <c r="F17" s="152">
        <f t="shared" ca="1" si="0"/>
        <v>21</v>
      </c>
      <c r="G17" s="152">
        <f t="shared" ca="1" si="0"/>
        <v>38</v>
      </c>
    </row>
    <row r="18" spans="2:7" x14ac:dyDescent="0.3">
      <c r="B18" s="26">
        <v>14</v>
      </c>
      <c r="C18" s="152">
        <f t="shared" ca="1" si="1"/>
        <v>19</v>
      </c>
      <c r="D18" s="152">
        <f t="shared" ca="1" si="0"/>
        <v>24</v>
      </c>
      <c r="E18" s="152">
        <f t="shared" ca="1" si="0"/>
        <v>15</v>
      </c>
      <c r="F18" s="152">
        <f t="shared" ca="1" si="0"/>
        <v>22</v>
      </c>
      <c r="G18" s="152">
        <f t="shared" ca="1" si="0"/>
        <v>47</v>
      </c>
    </row>
    <row r="19" spans="2:7" x14ac:dyDescent="0.3">
      <c r="B19" s="26">
        <v>15</v>
      </c>
      <c r="C19" s="152">
        <f t="shared" ca="1" si="1"/>
        <v>50</v>
      </c>
      <c r="D19" s="152">
        <f t="shared" ca="1" si="0"/>
        <v>35</v>
      </c>
      <c r="E19" s="152">
        <f t="shared" ca="1" si="0"/>
        <v>40</v>
      </c>
      <c r="F19" s="152">
        <f t="shared" ca="1" si="0"/>
        <v>34</v>
      </c>
      <c r="G19" s="152">
        <f t="shared" ca="1" si="0"/>
        <v>30</v>
      </c>
    </row>
    <row r="20" spans="2:7" x14ac:dyDescent="0.3">
      <c r="B20" s="26">
        <v>16</v>
      </c>
      <c r="C20" s="152">
        <f t="shared" ca="1" si="1"/>
        <v>48</v>
      </c>
      <c r="D20" s="152">
        <f t="shared" ca="1" si="0"/>
        <v>39</v>
      </c>
      <c r="E20" s="152">
        <f t="shared" ca="1" si="0"/>
        <v>33</v>
      </c>
      <c r="F20" s="152">
        <f t="shared" ca="1" si="0"/>
        <v>44</v>
      </c>
      <c r="G20" s="152">
        <f t="shared" ca="1" si="0"/>
        <v>34</v>
      </c>
    </row>
    <row r="21" spans="2:7" x14ac:dyDescent="0.3">
      <c r="B21" s="26">
        <v>17</v>
      </c>
      <c r="C21" s="152">
        <f t="shared" ca="1" si="1"/>
        <v>48</v>
      </c>
      <c r="D21" s="152">
        <f t="shared" ca="1" si="1"/>
        <v>15</v>
      </c>
      <c r="E21" s="152">
        <f t="shared" ca="1" si="1"/>
        <v>10</v>
      </c>
      <c r="F21" s="152">
        <f t="shared" ca="1" si="1"/>
        <v>49</v>
      </c>
      <c r="G21" s="152">
        <f t="shared" ca="1" si="1"/>
        <v>36</v>
      </c>
    </row>
    <row r="22" spans="2:7" x14ac:dyDescent="0.3">
      <c r="B22" s="26">
        <v>18</v>
      </c>
      <c r="C22" s="152">
        <f t="shared" ca="1" si="1"/>
        <v>35</v>
      </c>
      <c r="D22" s="152">
        <f t="shared" ca="1" si="1"/>
        <v>21</v>
      </c>
      <c r="E22" s="152">
        <f t="shared" ca="1" si="1"/>
        <v>38</v>
      </c>
      <c r="F22" s="152">
        <f t="shared" ca="1" si="1"/>
        <v>30</v>
      </c>
      <c r="G22" s="152">
        <f t="shared" ca="1" si="1"/>
        <v>45</v>
      </c>
    </row>
    <row r="23" spans="2:7" x14ac:dyDescent="0.3">
      <c r="B23" s="26">
        <v>19</v>
      </c>
      <c r="C23" s="152">
        <f t="shared" ca="1" si="1"/>
        <v>28</v>
      </c>
      <c r="D23" s="152">
        <f t="shared" ca="1" si="1"/>
        <v>19</v>
      </c>
      <c r="E23" s="152">
        <f t="shared" ca="1" si="1"/>
        <v>48</v>
      </c>
      <c r="F23" s="152">
        <f t="shared" ca="1" si="1"/>
        <v>49</v>
      </c>
      <c r="G23" s="152">
        <f t="shared" ca="1" si="1"/>
        <v>43</v>
      </c>
    </row>
    <row r="24" spans="2:7" x14ac:dyDescent="0.3">
      <c r="B24" s="26">
        <v>20</v>
      </c>
      <c r="C24" s="152">
        <f t="shared" ca="1" si="1"/>
        <v>39</v>
      </c>
      <c r="D24" s="152">
        <f t="shared" ca="1" si="1"/>
        <v>38</v>
      </c>
      <c r="E24" s="152">
        <f t="shared" ca="1" si="1"/>
        <v>16</v>
      </c>
      <c r="F24" s="152">
        <f t="shared" ca="1" si="1"/>
        <v>21</v>
      </c>
      <c r="G24" s="152">
        <f t="shared" ca="1" si="1"/>
        <v>11</v>
      </c>
    </row>
    <row r="25" spans="2:7" x14ac:dyDescent="0.3">
      <c r="B25" s="26">
        <v>21</v>
      </c>
      <c r="C25" s="152">
        <f t="shared" ca="1" si="1"/>
        <v>24</v>
      </c>
      <c r="D25" s="152">
        <f t="shared" ca="1" si="1"/>
        <v>35</v>
      </c>
      <c r="E25" s="152">
        <f t="shared" ca="1" si="1"/>
        <v>25</v>
      </c>
      <c r="F25" s="152">
        <f t="shared" ca="1" si="1"/>
        <v>40</v>
      </c>
      <c r="G25" s="152">
        <f t="shared" ca="1" si="1"/>
        <v>32</v>
      </c>
    </row>
    <row r="26" spans="2:7" x14ac:dyDescent="0.3">
      <c r="B26" s="26">
        <v>22</v>
      </c>
      <c r="C26" s="152">
        <f t="shared" ca="1" si="1"/>
        <v>46</v>
      </c>
      <c r="D26" s="152">
        <f t="shared" ca="1" si="1"/>
        <v>16</v>
      </c>
      <c r="E26" s="152">
        <f t="shared" ca="1" si="1"/>
        <v>32</v>
      </c>
      <c r="F26" s="152">
        <f t="shared" ca="1" si="1"/>
        <v>26</v>
      </c>
      <c r="G26" s="152">
        <f t="shared" ca="1" si="1"/>
        <v>10</v>
      </c>
    </row>
    <row r="27" spans="2:7" x14ac:dyDescent="0.3">
      <c r="B27" s="26">
        <v>23</v>
      </c>
      <c r="C27" s="152">
        <f t="shared" ca="1" si="1"/>
        <v>10</v>
      </c>
      <c r="D27" s="152">
        <f t="shared" ca="1" si="1"/>
        <v>16</v>
      </c>
      <c r="E27" s="152">
        <f t="shared" ca="1" si="1"/>
        <v>27</v>
      </c>
      <c r="F27" s="152">
        <f t="shared" ca="1" si="1"/>
        <v>33</v>
      </c>
      <c r="G27" s="152">
        <f t="shared" ca="1" si="1"/>
        <v>45</v>
      </c>
    </row>
    <row r="28" spans="2:7" x14ac:dyDescent="0.3">
      <c r="B28" s="26">
        <v>24</v>
      </c>
      <c r="C28" s="152">
        <f t="shared" ca="1" si="1"/>
        <v>44</v>
      </c>
      <c r="D28" s="152">
        <f t="shared" ca="1" si="1"/>
        <v>32</v>
      </c>
      <c r="E28" s="152">
        <f t="shared" ca="1" si="1"/>
        <v>19</v>
      </c>
      <c r="F28" s="152">
        <f t="shared" ca="1" si="1"/>
        <v>29</v>
      </c>
      <c r="G28" s="152">
        <f t="shared" ca="1" si="1"/>
        <v>18</v>
      </c>
    </row>
    <row r="29" spans="2:7" x14ac:dyDescent="0.3">
      <c r="B29" s="26">
        <v>25</v>
      </c>
      <c r="C29" s="152">
        <f t="shared" ca="1" si="1"/>
        <v>44</v>
      </c>
      <c r="D29" s="152">
        <f t="shared" ca="1" si="1"/>
        <v>10</v>
      </c>
      <c r="E29" s="152">
        <f t="shared" ca="1" si="1"/>
        <v>38</v>
      </c>
      <c r="F29" s="152">
        <f t="shared" ca="1" si="1"/>
        <v>29</v>
      </c>
      <c r="G29" s="152">
        <f t="shared" ca="1" si="1"/>
        <v>47</v>
      </c>
    </row>
  </sheetData>
  <mergeCells count="3">
    <mergeCell ref="B2:B4"/>
    <mergeCell ref="C2:G2"/>
    <mergeCell ref="C4:G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topLeftCell="A37" zoomScaleNormal="100" workbookViewId="0">
      <selection activeCell="Q58" sqref="Q58"/>
    </sheetView>
  </sheetViews>
  <sheetFormatPr defaultRowHeight="20.25" x14ac:dyDescent="0.3"/>
  <cols>
    <col min="1" max="3" width="9.140625" style="24"/>
    <col min="4" max="4" width="3.7109375" style="24" customWidth="1"/>
    <col min="5" max="7" width="9.140625" style="24"/>
    <col min="8" max="8" width="4.140625" style="24" customWidth="1"/>
    <col min="9" max="11" width="9.140625" style="24"/>
    <col min="12" max="12" width="3.7109375" style="24" customWidth="1"/>
    <col min="13" max="16384" width="9.140625" style="24"/>
  </cols>
  <sheetData>
    <row r="1" spans="1:15" x14ac:dyDescent="0.3">
      <c r="A1" s="256" t="s">
        <v>226</v>
      </c>
      <c r="B1" s="257"/>
      <c r="C1" s="257"/>
      <c r="E1" s="256" t="s">
        <v>227</v>
      </c>
      <c r="F1" s="257"/>
      <c r="G1" s="257"/>
      <c r="I1" s="256" t="s">
        <v>228</v>
      </c>
      <c r="J1" s="257"/>
      <c r="K1" s="257"/>
      <c r="M1" s="256" t="s">
        <v>229</v>
      </c>
      <c r="N1" s="257"/>
      <c r="O1" s="257"/>
    </row>
    <row r="2" spans="1:15" x14ac:dyDescent="0.3">
      <c r="A2" s="154">
        <f ca="1">6*RAND()+5</f>
        <v>8.6136355372463544</v>
      </c>
      <c r="B2" s="154">
        <v>7.6</v>
      </c>
      <c r="C2" s="154">
        <v>8.6999999999999993</v>
      </c>
      <c r="E2" s="154">
        <f ca="1">6*RAND()+5</f>
        <v>6.5910816531283603</v>
      </c>
      <c r="F2" s="154">
        <v>7.6</v>
      </c>
      <c r="G2" s="154">
        <v>8.6999999999999993</v>
      </c>
      <c r="I2" s="154">
        <f ca="1">6*RAND()+5</f>
        <v>7.7741666274399481</v>
      </c>
      <c r="J2" s="154">
        <v>7.6</v>
      </c>
      <c r="K2" s="154">
        <v>8.6999999999999993</v>
      </c>
      <c r="M2" s="154">
        <f ca="1">6*RAND()+5</f>
        <v>8.9986778088811157</v>
      </c>
      <c r="N2" s="154">
        <v>7.6</v>
      </c>
      <c r="O2" s="154">
        <v>8.6999999999999993</v>
      </c>
    </row>
    <row r="3" spans="1:15" x14ac:dyDescent="0.3">
      <c r="A3" s="154">
        <v>6.1</v>
      </c>
      <c r="B3" s="154">
        <v>10.6</v>
      </c>
      <c r="C3" s="154">
        <v>9.8000000000000007</v>
      </c>
      <c r="E3" s="154">
        <v>6.1</v>
      </c>
      <c r="F3" s="154">
        <v>10.6</v>
      </c>
      <c r="G3" s="154">
        <v>9.8000000000000007</v>
      </c>
      <c r="I3" s="154">
        <v>6.1</v>
      </c>
      <c r="J3" s="154">
        <v>10.6</v>
      </c>
      <c r="K3" s="154">
        <v>9.8000000000000007</v>
      </c>
      <c r="M3" s="154">
        <v>6.1</v>
      </c>
      <c r="N3" s="154">
        <v>10.6</v>
      </c>
      <c r="O3" s="154">
        <v>9.8000000000000007</v>
      </c>
    </row>
    <row r="4" spans="1:15" x14ac:dyDescent="0.3">
      <c r="A4" s="154">
        <v>7</v>
      </c>
      <c r="B4" s="154">
        <v>6</v>
      </c>
      <c r="C4" s="154">
        <v>8.3000000000000007</v>
      </c>
      <c r="E4" s="154">
        <v>7</v>
      </c>
      <c r="F4" s="154">
        <v>6</v>
      </c>
      <c r="G4" s="154">
        <v>8.3000000000000007</v>
      </c>
      <c r="I4" s="154">
        <v>7</v>
      </c>
      <c r="J4" s="154">
        <v>6</v>
      </c>
      <c r="K4" s="154">
        <v>8.3000000000000007</v>
      </c>
      <c r="M4" s="154">
        <v>7</v>
      </c>
      <c r="N4" s="154">
        <v>6</v>
      </c>
      <c r="O4" s="154">
        <v>8.3000000000000007</v>
      </c>
    </row>
    <row r="5" spans="1:15" x14ac:dyDescent="0.3">
      <c r="A5" s="154">
        <v>6</v>
      </c>
      <c r="B5" s="154">
        <v>8.1999999999999993</v>
      </c>
      <c r="C5" s="154">
        <v>8.5</v>
      </c>
      <c r="E5" s="154">
        <v>6</v>
      </c>
      <c r="F5" s="154">
        <v>8.1999999999999993</v>
      </c>
      <c r="G5" s="154">
        <v>8.5</v>
      </c>
      <c r="I5" s="154">
        <v>6</v>
      </c>
      <c r="J5" s="154">
        <v>8.1999999999999993</v>
      </c>
      <c r="K5" s="154">
        <v>8.5</v>
      </c>
      <c r="M5" s="154">
        <v>6</v>
      </c>
      <c r="N5" s="154">
        <v>8.1999999999999993</v>
      </c>
      <c r="O5" s="154">
        <v>8.5</v>
      </c>
    </row>
    <row r="6" spans="1:15" x14ac:dyDescent="0.3">
      <c r="A6" s="154">
        <v>7.4</v>
      </c>
      <c r="B6" s="154">
        <v>7.1</v>
      </c>
      <c r="C6" s="154">
        <v>9.5</v>
      </c>
      <c r="E6" s="154">
        <v>7.4</v>
      </c>
      <c r="F6" s="154">
        <v>7.1</v>
      </c>
      <c r="G6" s="154">
        <v>9.5</v>
      </c>
      <c r="I6" s="154">
        <v>7.4</v>
      </c>
      <c r="J6" s="154">
        <v>7.1</v>
      </c>
      <c r="K6" s="154">
        <v>9.5</v>
      </c>
      <c r="M6" s="154">
        <v>7.4</v>
      </c>
      <c r="N6" s="154">
        <v>7.1</v>
      </c>
      <c r="O6" s="154">
        <v>9.5</v>
      </c>
    </row>
    <row r="7" spans="1:15" x14ac:dyDescent="0.3">
      <c r="A7" s="154">
        <v>6.8</v>
      </c>
      <c r="B7" s="154">
        <v>9.6</v>
      </c>
      <c r="C7" s="154">
        <v>6.3</v>
      </c>
      <c r="E7" s="154">
        <v>6.8</v>
      </c>
      <c r="F7" s="154">
        <v>9.6</v>
      </c>
      <c r="G7" s="154">
        <v>6.3</v>
      </c>
      <c r="I7" s="154">
        <v>6.8</v>
      </c>
      <c r="J7" s="154">
        <v>9.6</v>
      </c>
      <c r="K7" s="154">
        <v>6.3</v>
      </c>
      <c r="M7" s="154">
        <v>6.8</v>
      </c>
      <c r="N7" s="154">
        <v>9.6</v>
      </c>
      <c r="O7" s="154">
        <v>6.3</v>
      </c>
    </row>
    <row r="8" spans="1:15" x14ac:dyDescent="0.3">
      <c r="A8" s="154">
        <v>6.3</v>
      </c>
      <c r="B8" s="154">
        <v>8.5</v>
      </c>
      <c r="C8" s="154">
        <v>5.8</v>
      </c>
      <c r="E8" s="154">
        <v>6.3</v>
      </c>
      <c r="F8" s="154">
        <v>8.5</v>
      </c>
      <c r="G8" s="154">
        <v>5.8</v>
      </c>
      <c r="I8" s="154">
        <v>6.3</v>
      </c>
      <c r="J8" s="154">
        <v>8.5</v>
      </c>
      <c r="K8" s="154">
        <v>5.8</v>
      </c>
      <c r="M8" s="154">
        <v>6.3</v>
      </c>
      <c r="N8" s="154">
        <v>8.5</v>
      </c>
      <c r="O8" s="154">
        <v>5.8</v>
      </c>
    </row>
    <row r="9" spans="1:15" x14ac:dyDescent="0.3">
      <c r="A9" s="154">
        <v>7.5</v>
      </c>
      <c r="B9" s="154">
        <v>9.1999999999999993</v>
      </c>
      <c r="C9" s="154">
        <v>7.2</v>
      </c>
      <c r="E9" s="154">
        <v>7.5</v>
      </c>
      <c r="F9" s="154">
        <v>9.1999999999999993</v>
      </c>
      <c r="G9" s="154">
        <v>7.2</v>
      </c>
      <c r="I9" s="154">
        <v>7.5</v>
      </c>
      <c r="J9" s="154">
        <v>9.1999999999999993</v>
      </c>
      <c r="K9" s="154">
        <v>7.2</v>
      </c>
      <c r="M9" s="154">
        <v>7.5</v>
      </c>
      <c r="N9" s="154">
        <v>9.1999999999999993</v>
      </c>
      <c r="O9" s="154">
        <v>7.2</v>
      </c>
    </row>
    <row r="10" spans="1:15" x14ac:dyDescent="0.3">
      <c r="A10" s="154">
        <v>7</v>
      </c>
      <c r="B10" s="154">
        <v>8</v>
      </c>
      <c r="C10" s="154">
        <v>7.5</v>
      </c>
      <c r="E10" s="154">
        <v>7</v>
      </c>
      <c r="F10" s="154">
        <v>8</v>
      </c>
      <c r="G10" s="154">
        <v>7.5</v>
      </c>
      <c r="I10" s="154">
        <v>7</v>
      </c>
      <c r="J10" s="154">
        <v>8</v>
      </c>
      <c r="K10" s="154">
        <v>7.5</v>
      </c>
      <c r="M10" s="154">
        <v>7</v>
      </c>
      <c r="N10" s="154">
        <v>8</v>
      </c>
      <c r="O10" s="154">
        <v>7.5</v>
      </c>
    </row>
    <row r="11" spans="1:15" x14ac:dyDescent="0.3">
      <c r="A11" s="154">
        <v>7.5</v>
      </c>
      <c r="B11" s="154">
        <v>8</v>
      </c>
      <c r="C11" s="154">
        <v>6.5</v>
      </c>
      <c r="E11" s="154">
        <v>7.5</v>
      </c>
      <c r="F11" s="154">
        <v>8</v>
      </c>
      <c r="G11" s="154">
        <v>6.5</v>
      </c>
      <c r="I11" s="154">
        <v>7.5</v>
      </c>
      <c r="J11" s="154">
        <v>8</v>
      </c>
      <c r="K11" s="154">
        <v>6.5</v>
      </c>
      <c r="M11" s="154">
        <v>7.5</v>
      </c>
      <c r="N11" s="154">
        <v>8</v>
      </c>
      <c r="O11" s="154">
        <v>6.5</v>
      </c>
    </row>
    <row r="13" spans="1:15" x14ac:dyDescent="0.3">
      <c r="A13" s="256" t="s">
        <v>230</v>
      </c>
      <c r="B13" s="257"/>
      <c r="C13" s="257"/>
      <c r="E13" s="256" t="s">
        <v>231</v>
      </c>
      <c r="F13" s="257"/>
      <c r="G13" s="257"/>
      <c r="I13" s="256" t="s">
        <v>232</v>
      </c>
      <c r="J13" s="257"/>
      <c r="K13" s="257"/>
      <c r="M13" s="256" t="s">
        <v>233</v>
      </c>
      <c r="N13" s="257"/>
      <c r="O13" s="257"/>
    </row>
    <row r="14" spans="1:15" x14ac:dyDescent="0.3">
      <c r="A14" s="154">
        <f ca="1">6*RAND()+5</f>
        <v>5.666109817992969</v>
      </c>
      <c r="B14" s="154">
        <v>7.6</v>
      </c>
      <c r="C14" s="154">
        <v>8.6999999999999993</v>
      </c>
      <c r="E14" s="154">
        <f ca="1">6*RAND()+5</f>
        <v>10.586749095511045</v>
      </c>
      <c r="F14" s="154">
        <v>7.6</v>
      </c>
      <c r="G14" s="154">
        <v>8.6999999999999993</v>
      </c>
      <c r="I14" s="154">
        <f ca="1">6*RAND()+5</f>
        <v>8.6364732846626762</v>
      </c>
      <c r="J14" s="154">
        <v>7.6</v>
      </c>
      <c r="K14" s="154">
        <v>8.6999999999999993</v>
      </c>
      <c r="M14" s="154">
        <f ca="1">6*RAND()+5</f>
        <v>9.9200848912460629</v>
      </c>
      <c r="N14" s="154">
        <v>7.6</v>
      </c>
      <c r="O14" s="154">
        <v>8.6999999999999993</v>
      </c>
    </row>
    <row r="15" spans="1:15" x14ac:dyDescent="0.3">
      <c r="A15" s="154">
        <v>6.1</v>
      </c>
      <c r="B15" s="154">
        <v>10.6</v>
      </c>
      <c r="C15" s="154">
        <v>9.8000000000000007</v>
      </c>
      <c r="E15" s="154">
        <v>6.1</v>
      </c>
      <c r="F15" s="154">
        <v>10.6</v>
      </c>
      <c r="G15" s="154">
        <v>9.8000000000000007</v>
      </c>
      <c r="I15" s="154">
        <v>6.1</v>
      </c>
      <c r="J15" s="154">
        <v>10.6</v>
      </c>
      <c r="K15" s="154">
        <v>9.8000000000000007</v>
      </c>
      <c r="M15" s="154">
        <v>6.1</v>
      </c>
      <c r="N15" s="154">
        <v>10.6</v>
      </c>
      <c r="O15" s="154">
        <v>9.8000000000000007</v>
      </c>
    </row>
    <row r="16" spans="1:15" x14ac:dyDescent="0.3">
      <c r="A16" s="154">
        <v>7</v>
      </c>
      <c r="B16" s="154">
        <v>6</v>
      </c>
      <c r="C16" s="154">
        <v>8.3000000000000007</v>
      </c>
      <c r="E16" s="154">
        <v>7</v>
      </c>
      <c r="F16" s="154">
        <v>6</v>
      </c>
      <c r="G16" s="154">
        <v>8.3000000000000007</v>
      </c>
      <c r="I16" s="154">
        <v>7</v>
      </c>
      <c r="J16" s="154">
        <v>6</v>
      </c>
      <c r="K16" s="154">
        <v>8.3000000000000007</v>
      </c>
      <c r="M16" s="154">
        <v>7</v>
      </c>
      <c r="N16" s="154">
        <v>6</v>
      </c>
      <c r="O16" s="154">
        <v>8.3000000000000007</v>
      </c>
    </row>
    <row r="17" spans="1:15" x14ac:dyDescent="0.3">
      <c r="A17" s="154">
        <v>6</v>
      </c>
      <c r="B17" s="154">
        <v>8.1999999999999993</v>
      </c>
      <c r="C17" s="154">
        <v>8.5</v>
      </c>
      <c r="E17" s="154">
        <v>6</v>
      </c>
      <c r="F17" s="154">
        <v>8.1999999999999993</v>
      </c>
      <c r="G17" s="154">
        <v>8.5</v>
      </c>
      <c r="I17" s="154">
        <v>6</v>
      </c>
      <c r="J17" s="154">
        <v>8.1999999999999993</v>
      </c>
      <c r="K17" s="154">
        <v>8.5</v>
      </c>
      <c r="M17" s="154">
        <v>6</v>
      </c>
      <c r="N17" s="154">
        <v>8.1999999999999993</v>
      </c>
      <c r="O17" s="154">
        <v>8.5</v>
      </c>
    </row>
    <row r="18" spans="1:15" x14ac:dyDescent="0.3">
      <c r="A18" s="154">
        <v>7.4</v>
      </c>
      <c r="B18" s="154">
        <v>7.1</v>
      </c>
      <c r="C18" s="154">
        <v>9.5</v>
      </c>
      <c r="E18" s="154">
        <v>7.4</v>
      </c>
      <c r="F18" s="154">
        <v>7.1</v>
      </c>
      <c r="G18" s="154">
        <v>9.5</v>
      </c>
      <c r="I18" s="154">
        <v>7.4</v>
      </c>
      <c r="J18" s="154">
        <v>7.1</v>
      </c>
      <c r="K18" s="154">
        <v>9.5</v>
      </c>
      <c r="M18" s="154">
        <v>7.4</v>
      </c>
      <c r="N18" s="154">
        <v>7.1</v>
      </c>
      <c r="O18" s="154">
        <v>9.5</v>
      </c>
    </row>
    <row r="19" spans="1:15" x14ac:dyDescent="0.3">
      <c r="A19" s="154">
        <v>6.8</v>
      </c>
      <c r="B19" s="154">
        <v>9.6</v>
      </c>
      <c r="C19" s="154">
        <v>6.3</v>
      </c>
      <c r="E19" s="154">
        <v>6.8</v>
      </c>
      <c r="F19" s="154">
        <v>9.6</v>
      </c>
      <c r="G19" s="154">
        <v>6.3</v>
      </c>
      <c r="I19" s="154">
        <v>6.8</v>
      </c>
      <c r="J19" s="154">
        <v>9.6</v>
      </c>
      <c r="K19" s="154">
        <v>6.3</v>
      </c>
      <c r="M19" s="154">
        <v>6.8</v>
      </c>
      <c r="N19" s="154">
        <v>9.6</v>
      </c>
      <c r="O19" s="154">
        <v>6.3</v>
      </c>
    </row>
    <row r="20" spans="1:15" x14ac:dyDescent="0.3">
      <c r="A20" s="154">
        <v>6.3</v>
      </c>
      <c r="B20" s="154">
        <v>8.5</v>
      </c>
      <c r="C20" s="154">
        <v>5.8</v>
      </c>
      <c r="E20" s="154">
        <v>6.3</v>
      </c>
      <c r="F20" s="154">
        <v>8.5</v>
      </c>
      <c r="G20" s="154">
        <v>5.8</v>
      </c>
      <c r="I20" s="154">
        <v>6.3</v>
      </c>
      <c r="J20" s="154">
        <v>8.5</v>
      </c>
      <c r="K20" s="154">
        <v>5.8</v>
      </c>
      <c r="M20" s="154">
        <v>6.3</v>
      </c>
      <c r="N20" s="154">
        <v>8.5</v>
      </c>
      <c r="O20" s="154">
        <v>5.8</v>
      </c>
    </row>
    <row r="21" spans="1:15" x14ac:dyDescent="0.3">
      <c r="A21" s="154">
        <v>7.5</v>
      </c>
      <c r="B21" s="154">
        <v>9.1999999999999993</v>
      </c>
      <c r="C21" s="154">
        <v>7.2</v>
      </c>
      <c r="E21" s="154">
        <v>7.5</v>
      </c>
      <c r="F21" s="154">
        <v>9.1999999999999993</v>
      </c>
      <c r="G21" s="154">
        <v>7.2</v>
      </c>
      <c r="I21" s="154">
        <v>7.5</v>
      </c>
      <c r="J21" s="154">
        <v>9.1999999999999993</v>
      </c>
      <c r="K21" s="154">
        <v>7.2</v>
      </c>
      <c r="M21" s="154">
        <v>7.5</v>
      </c>
      <c r="N21" s="154">
        <v>9.1999999999999993</v>
      </c>
      <c r="O21" s="154">
        <v>7.2</v>
      </c>
    </row>
    <row r="22" spans="1:15" x14ac:dyDescent="0.3">
      <c r="A22" s="154">
        <v>7</v>
      </c>
      <c r="B22" s="154">
        <v>8</v>
      </c>
      <c r="C22" s="154">
        <v>7.5</v>
      </c>
      <c r="E22" s="154">
        <v>7</v>
      </c>
      <c r="F22" s="154">
        <v>8</v>
      </c>
      <c r="G22" s="154">
        <v>7.5</v>
      </c>
      <c r="I22" s="154">
        <v>7</v>
      </c>
      <c r="J22" s="154">
        <v>8</v>
      </c>
      <c r="K22" s="154">
        <v>7.5</v>
      </c>
      <c r="M22" s="154">
        <v>7</v>
      </c>
      <c r="N22" s="154">
        <v>8</v>
      </c>
      <c r="O22" s="154">
        <v>7.5</v>
      </c>
    </row>
    <row r="23" spans="1:15" x14ac:dyDescent="0.3">
      <c r="A23" s="154">
        <v>7.5</v>
      </c>
      <c r="B23" s="154">
        <v>8</v>
      </c>
      <c r="C23" s="154">
        <v>6.5</v>
      </c>
      <c r="E23" s="154">
        <v>7.5</v>
      </c>
      <c r="F23" s="154">
        <v>8</v>
      </c>
      <c r="G23" s="154">
        <v>6.5</v>
      </c>
      <c r="I23" s="154">
        <v>7.5</v>
      </c>
      <c r="J23" s="154">
        <v>8</v>
      </c>
      <c r="K23" s="154">
        <v>6.5</v>
      </c>
      <c r="M23" s="154">
        <v>7.5</v>
      </c>
      <c r="N23" s="154">
        <v>8</v>
      </c>
      <c r="O23" s="154">
        <v>6.5</v>
      </c>
    </row>
    <row r="25" spans="1:15" x14ac:dyDescent="0.3">
      <c r="A25" s="256" t="s">
        <v>234</v>
      </c>
      <c r="B25" s="257"/>
      <c r="C25" s="257"/>
      <c r="E25" s="256" t="s">
        <v>235</v>
      </c>
      <c r="F25" s="257"/>
      <c r="G25" s="257"/>
      <c r="I25" s="256" t="s">
        <v>236</v>
      </c>
      <c r="J25" s="257"/>
      <c r="K25" s="257"/>
      <c r="M25" s="256" t="s">
        <v>237</v>
      </c>
      <c r="N25" s="257"/>
      <c r="O25" s="257"/>
    </row>
    <row r="26" spans="1:15" x14ac:dyDescent="0.3">
      <c r="A26" s="154">
        <f ca="1">6*RAND()+5</f>
        <v>6.2315824354257794</v>
      </c>
      <c r="B26" s="154">
        <v>7.6</v>
      </c>
      <c r="C26" s="154">
        <v>8.6999999999999993</v>
      </c>
      <c r="E26" s="154">
        <f ca="1">6*RAND()+5</f>
        <v>9.5352269212054139</v>
      </c>
      <c r="F26" s="154">
        <v>7.6</v>
      </c>
      <c r="G26" s="154">
        <v>8.6999999999999993</v>
      </c>
      <c r="I26" s="154">
        <f ca="1">6*RAND()+5</f>
        <v>10.746921175047348</v>
      </c>
      <c r="J26" s="154">
        <v>7.6</v>
      </c>
      <c r="K26" s="154">
        <v>8.6999999999999993</v>
      </c>
      <c r="M26" s="154">
        <f ca="1">6*RAND()+5</f>
        <v>9.9814572065849028</v>
      </c>
      <c r="N26" s="154">
        <v>7.6</v>
      </c>
      <c r="O26" s="154">
        <v>8.6999999999999993</v>
      </c>
    </row>
    <row r="27" spans="1:15" x14ac:dyDescent="0.3">
      <c r="A27" s="154">
        <v>6.1</v>
      </c>
      <c r="B27" s="154">
        <v>10.6</v>
      </c>
      <c r="C27" s="154">
        <v>9.8000000000000007</v>
      </c>
      <c r="E27" s="154">
        <v>6.1</v>
      </c>
      <c r="F27" s="154">
        <v>10.6</v>
      </c>
      <c r="G27" s="154">
        <v>9.8000000000000007</v>
      </c>
      <c r="I27" s="154">
        <v>6.1</v>
      </c>
      <c r="J27" s="154">
        <v>10.6</v>
      </c>
      <c r="K27" s="154">
        <v>9.8000000000000007</v>
      </c>
      <c r="M27" s="154">
        <v>6.1</v>
      </c>
      <c r="N27" s="154">
        <v>10.6</v>
      </c>
      <c r="O27" s="154">
        <v>9.8000000000000007</v>
      </c>
    </row>
    <row r="28" spans="1:15" x14ac:dyDescent="0.3">
      <c r="A28" s="154">
        <v>7</v>
      </c>
      <c r="B28" s="154">
        <v>6</v>
      </c>
      <c r="C28" s="154">
        <v>8.3000000000000007</v>
      </c>
      <c r="E28" s="154">
        <v>7</v>
      </c>
      <c r="F28" s="154">
        <v>6</v>
      </c>
      <c r="G28" s="154">
        <v>8.3000000000000007</v>
      </c>
      <c r="I28" s="154">
        <v>7</v>
      </c>
      <c r="J28" s="154">
        <v>6</v>
      </c>
      <c r="K28" s="154">
        <v>8.3000000000000007</v>
      </c>
      <c r="M28" s="154">
        <v>7</v>
      </c>
      <c r="N28" s="154">
        <v>6</v>
      </c>
      <c r="O28" s="154">
        <v>8.3000000000000007</v>
      </c>
    </row>
    <row r="29" spans="1:15" x14ac:dyDescent="0.3">
      <c r="A29" s="154">
        <v>6</v>
      </c>
      <c r="B29" s="154">
        <v>8.1999999999999993</v>
      </c>
      <c r="C29" s="154">
        <v>8.5</v>
      </c>
      <c r="E29" s="154">
        <v>6</v>
      </c>
      <c r="F29" s="154">
        <v>8.1999999999999993</v>
      </c>
      <c r="G29" s="154">
        <v>8.5</v>
      </c>
      <c r="I29" s="154">
        <v>6</v>
      </c>
      <c r="J29" s="154">
        <v>8.1999999999999993</v>
      </c>
      <c r="K29" s="154">
        <v>8.5</v>
      </c>
      <c r="M29" s="154">
        <v>6</v>
      </c>
      <c r="N29" s="154">
        <v>8.1999999999999993</v>
      </c>
      <c r="O29" s="154">
        <v>8.5</v>
      </c>
    </row>
    <row r="30" spans="1:15" x14ac:dyDescent="0.3">
      <c r="A30" s="154">
        <v>7.4</v>
      </c>
      <c r="B30" s="154">
        <v>7.1</v>
      </c>
      <c r="C30" s="154">
        <v>9.5</v>
      </c>
      <c r="E30" s="154">
        <v>7.4</v>
      </c>
      <c r="F30" s="154">
        <v>7.1</v>
      </c>
      <c r="G30" s="154">
        <v>9.5</v>
      </c>
      <c r="I30" s="154">
        <v>7.4</v>
      </c>
      <c r="J30" s="154">
        <v>7.1</v>
      </c>
      <c r="K30" s="154">
        <v>9.5</v>
      </c>
      <c r="M30" s="154">
        <v>7.4</v>
      </c>
      <c r="N30" s="154">
        <v>7.1</v>
      </c>
      <c r="O30" s="154">
        <v>9.5</v>
      </c>
    </row>
    <row r="31" spans="1:15" x14ac:dyDescent="0.3">
      <c r="A31" s="154">
        <v>6.8</v>
      </c>
      <c r="B31" s="154">
        <v>9.6</v>
      </c>
      <c r="C31" s="154">
        <v>6.3</v>
      </c>
      <c r="E31" s="154">
        <v>6.8</v>
      </c>
      <c r="F31" s="154">
        <v>9.6</v>
      </c>
      <c r="G31" s="154">
        <v>6.3</v>
      </c>
      <c r="I31" s="154">
        <v>6.8</v>
      </c>
      <c r="J31" s="154">
        <v>9.6</v>
      </c>
      <c r="K31" s="154">
        <v>6.3</v>
      </c>
      <c r="M31" s="154">
        <v>6.8</v>
      </c>
      <c r="N31" s="154">
        <v>9.6</v>
      </c>
      <c r="O31" s="154">
        <v>6.3</v>
      </c>
    </row>
    <row r="32" spans="1:15" x14ac:dyDescent="0.3">
      <c r="A32" s="154">
        <v>6.3</v>
      </c>
      <c r="B32" s="154">
        <v>8.5</v>
      </c>
      <c r="C32" s="154">
        <v>5.8</v>
      </c>
      <c r="E32" s="154">
        <v>6.3</v>
      </c>
      <c r="F32" s="154">
        <v>8.5</v>
      </c>
      <c r="G32" s="154">
        <v>5.8</v>
      </c>
      <c r="I32" s="154">
        <v>6.3</v>
      </c>
      <c r="J32" s="154">
        <v>8.5</v>
      </c>
      <c r="K32" s="154">
        <v>5.8</v>
      </c>
      <c r="M32" s="154">
        <v>6.3</v>
      </c>
      <c r="N32" s="154">
        <v>8.5</v>
      </c>
      <c r="O32" s="154">
        <v>5.8</v>
      </c>
    </row>
    <row r="33" spans="1:15" x14ac:dyDescent="0.3">
      <c r="A33" s="154">
        <v>7.5</v>
      </c>
      <c r="B33" s="154">
        <v>9.1999999999999993</v>
      </c>
      <c r="C33" s="154">
        <v>7.2</v>
      </c>
      <c r="E33" s="154">
        <v>7.5</v>
      </c>
      <c r="F33" s="154">
        <v>9.1999999999999993</v>
      </c>
      <c r="G33" s="154">
        <v>7.2</v>
      </c>
      <c r="I33" s="154">
        <v>7.5</v>
      </c>
      <c r="J33" s="154">
        <v>9.1999999999999993</v>
      </c>
      <c r="K33" s="154">
        <v>7.2</v>
      </c>
      <c r="M33" s="154">
        <v>7.5</v>
      </c>
      <c r="N33" s="154">
        <v>9.1999999999999993</v>
      </c>
      <c r="O33" s="154">
        <v>7.2</v>
      </c>
    </row>
    <row r="34" spans="1:15" x14ac:dyDescent="0.3">
      <c r="A34" s="154">
        <v>7</v>
      </c>
      <c r="B34" s="154">
        <v>8</v>
      </c>
      <c r="C34" s="154">
        <v>7.5</v>
      </c>
      <c r="E34" s="154">
        <v>7</v>
      </c>
      <c r="F34" s="154">
        <v>8</v>
      </c>
      <c r="G34" s="154">
        <v>7.5</v>
      </c>
      <c r="I34" s="154">
        <v>7</v>
      </c>
      <c r="J34" s="154">
        <v>8</v>
      </c>
      <c r="K34" s="154">
        <v>7.5</v>
      </c>
      <c r="M34" s="154">
        <v>7</v>
      </c>
      <c r="N34" s="154">
        <v>8</v>
      </c>
      <c r="O34" s="154">
        <v>7.5</v>
      </c>
    </row>
    <row r="35" spans="1:15" x14ac:dyDescent="0.3">
      <c r="A35" s="154">
        <v>7.5</v>
      </c>
      <c r="B35" s="154">
        <v>8</v>
      </c>
      <c r="C35" s="154">
        <v>6.5</v>
      </c>
      <c r="E35" s="154">
        <v>7.5</v>
      </c>
      <c r="F35" s="154">
        <v>8</v>
      </c>
      <c r="G35" s="154">
        <v>6.5</v>
      </c>
      <c r="I35" s="154">
        <v>7.5</v>
      </c>
      <c r="J35" s="154">
        <v>8</v>
      </c>
      <c r="K35" s="154">
        <v>6.5</v>
      </c>
      <c r="M35" s="154">
        <v>7.5</v>
      </c>
      <c r="N35" s="154">
        <v>8</v>
      </c>
      <c r="O35" s="154">
        <v>6.5</v>
      </c>
    </row>
    <row r="37" spans="1:15" x14ac:dyDescent="0.3">
      <c r="A37" s="256" t="s">
        <v>238</v>
      </c>
      <c r="B37" s="257"/>
      <c r="C37" s="257"/>
      <c r="E37" s="256" t="s">
        <v>239</v>
      </c>
      <c r="F37" s="257"/>
      <c r="G37" s="257"/>
      <c r="I37" s="256" t="s">
        <v>240</v>
      </c>
      <c r="J37" s="257"/>
      <c r="K37" s="257"/>
      <c r="M37" s="256" t="s">
        <v>241</v>
      </c>
      <c r="N37" s="257"/>
      <c r="O37" s="257"/>
    </row>
    <row r="38" spans="1:15" x14ac:dyDescent="0.3">
      <c r="A38" s="154">
        <f ca="1">6*RAND()+5</f>
        <v>10.247432376913652</v>
      </c>
      <c r="B38" s="154">
        <v>7.6</v>
      </c>
      <c r="C38" s="154">
        <v>8.6999999999999993</v>
      </c>
      <c r="E38" s="154">
        <f ca="1">6*RAND()+5</f>
        <v>10.436838172441847</v>
      </c>
      <c r="F38" s="154">
        <v>7.6</v>
      </c>
      <c r="G38" s="154">
        <v>8.6999999999999993</v>
      </c>
      <c r="I38" s="154">
        <f ca="1">6*RAND()+5</f>
        <v>8.630871408906815</v>
      </c>
      <c r="J38" s="154">
        <v>7.6</v>
      </c>
      <c r="K38" s="154">
        <v>8.6999999999999993</v>
      </c>
      <c r="M38" s="154">
        <f ca="1">6*RAND()+5</f>
        <v>5.8266950877781527</v>
      </c>
      <c r="N38" s="154">
        <v>7.6</v>
      </c>
      <c r="O38" s="154">
        <v>8.6999999999999993</v>
      </c>
    </row>
    <row r="39" spans="1:15" x14ac:dyDescent="0.3">
      <c r="A39" s="154">
        <v>6.1</v>
      </c>
      <c r="B39" s="154">
        <v>10.6</v>
      </c>
      <c r="C39" s="154">
        <v>9.8000000000000007</v>
      </c>
      <c r="E39" s="154">
        <v>6.1</v>
      </c>
      <c r="F39" s="154">
        <v>10.6</v>
      </c>
      <c r="G39" s="154">
        <v>9.8000000000000007</v>
      </c>
      <c r="I39" s="154">
        <v>6.1</v>
      </c>
      <c r="J39" s="154">
        <v>10.6</v>
      </c>
      <c r="K39" s="154">
        <v>9.8000000000000007</v>
      </c>
      <c r="M39" s="154">
        <v>6.1</v>
      </c>
      <c r="N39" s="154">
        <v>10.6</v>
      </c>
      <c r="O39" s="154">
        <v>9.8000000000000007</v>
      </c>
    </row>
    <row r="40" spans="1:15" x14ac:dyDescent="0.3">
      <c r="A40" s="154">
        <v>7</v>
      </c>
      <c r="B40" s="154">
        <v>6</v>
      </c>
      <c r="C40" s="154">
        <v>8.3000000000000007</v>
      </c>
      <c r="E40" s="154">
        <v>7</v>
      </c>
      <c r="F40" s="154">
        <v>6</v>
      </c>
      <c r="G40" s="154">
        <v>8.3000000000000007</v>
      </c>
      <c r="I40" s="154">
        <v>7</v>
      </c>
      <c r="J40" s="154">
        <v>6</v>
      </c>
      <c r="K40" s="154">
        <v>8.3000000000000007</v>
      </c>
      <c r="M40" s="154">
        <v>7</v>
      </c>
      <c r="N40" s="154">
        <v>6</v>
      </c>
      <c r="O40" s="154">
        <v>8.3000000000000007</v>
      </c>
    </row>
    <row r="41" spans="1:15" x14ac:dyDescent="0.3">
      <c r="A41" s="154">
        <v>6</v>
      </c>
      <c r="B41" s="154">
        <v>8.1999999999999993</v>
      </c>
      <c r="C41" s="154">
        <v>8.5</v>
      </c>
      <c r="E41" s="154">
        <v>6</v>
      </c>
      <c r="F41" s="154">
        <v>8.1999999999999993</v>
      </c>
      <c r="G41" s="154">
        <v>8.5</v>
      </c>
      <c r="I41" s="154">
        <v>6</v>
      </c>
      <c r="J41" s="154">
        <v>8.1999999999999993</v>
      </c>
      <c r="K41" s="154">
        <v>8.5</v>
      </c>
      <c r="M41" s="154">
        <v>6</v>
      </c>
      <c r="N41" s="154">
        <v>8.1999999999999993</v>
      </c>
      <c r="O41" s="154">
        <v>8.5</v>
      </c>
    </row>
    <row r="42" spans="1:15" x14ac:dyDescent="0.3">
      <c r="A42" s="154">
        <v>7.4</v>
      </c>
      <c r="B42" s="154">
        <v>7.1</v>
      </c>
      <c r="C42" s="154">
        <v>9.5</v>
      </c>
      <c r="E42" s="154">
        <v>7.4</v>
      </c>
      <c r="F42" s="154">
        <v>7.1</v>
      </c>
      <c r="G42" s="154">
        <v>9.5</v>
      </c>
      <c r="I42" s="154">
        <v>7.4</v>
      </c>
      <c r="J42" s="154">
        <v>7.1</v>
      </c>
      <c r="K42" s="154">
        <v>9.5</v>
      </c>
      <c r="M42" s="154">
        <v>7.4</v>
      </c>
      <c r="N42" s="154">
        <v>7.1</v>
      </c>
      <c r="O42" s="154">
        <v>9.5</v>
      </c>
    </row>
    <row r="43" spans="1:15" x14ac:dyDescent="0.3">
      <c r="A43" s="154">
        <v>6.8</v>
      </c>
      <c r="B43" s="154">
        <v>9.6</v>
      </c>
      <c r="C43" s="154">
        <v>6.3</v>
      </c>
      <c r="E43" s="154">
        <v>6.8</v>
      </c>
      <c r="F43" s="154">
        <v>9.6</v>
      </c>
      <c r="G43" s="154">
        <v>6.3</v>
      </c>
      <c r="I43" s="154">
        <v>6.8</v>
      </c>
      <c r="J43" s="154">
        <v>9.6</v>
      </c>
      <c r="K43" s="154">
        <v>6.3</v>
      </c>
      <c r="M43" s="154">
        <v>6.8</v>
      </c>
      <c r="N43" s="154">
        <v>9.6</v>
      </c>
      <c r="O43" s="154">
        <v>6.3</v>
      </c>
    </row>
    <row r="44" spans="1:15" x14ac:dyDescent="0.3">
      <c r="A44" s="154">
        <v>6.3</v>
      </c>
      <c r="B44" s="154">
        <v>8.5</v>
      </c>
      <c r="C44" s="154">
        <v>5.8</v>
      </c>
      <c r="E44" s="154">
        <v>6.3</v>
      </c>
      <c r="F44" s="154">
        <v>8.5</v>
      </c>
      <c r="G44" s="154">
        <v>5.8</v>
      </c>
      <c r="I44" s="154">
        <v>6.3</v>
      </c>
      <c r="J44" s="154">
        <v>8.5</v>
      </c>
      <c r="K44" s="154">
        <v>5.8</v>
      </c>
      <c r="M44" s="154">
        <v>6.3</v>
      </c>
      <c r="N44" s="154">
        <v>8.5</v>
      </c>
      <c r="O44" s="154">
        <v>5.8</v>
      </c>
    </row>
    <row r="45" spans="1:15" x14ac:dyDescent="0.3">
      <c r="A45" s="154">
        <v>7.5</v>
      </c>
      <c r="B45" s="154">
        <v>9.1999999999999993</v>
      </c>
      <c r="C45" s="154">
        <v>7.2</v>
      </c>
      <c r="E45" s="154">
        <v>7.5</v>
      </c>
      <c r="F45" s="154">
        <v>9.1999999999999993</v>
      </c>
      <c r="G45" s="154">
        <v>7.2</v>
      </c>
      <c r="I45" s="154">
        <v>7.5</v>
      </c>
      <c r="J45" s="154">
        <v>9.1999999999999993</v>
      </c>
      <c r="K45" s="154">
        <v>7.2</v>
      </c>
      <c r="M45" s="154">
        <v>7.5</v>
      </c>
      <c r="N45" s="154">
        <v>9.1999999999999993</v>
      </c>
      <c r="O45" s="154">
        <v>7.2</v>
      </c>
    </row>
    <row r="46" spans="1:15" x14ac:dyDescent="0.3">
      <c r="A46" s="154">
        <v>7</v>
      </c>
      <c r="B46" s="154">
        <v>8</v>
      </c>
      <c r="C46" s="154">
        <v>7.5</v>
      </c>
      <c r="E46" s="154">
        <v>7</v>
      </c>
      <c r="F46" s="154">
        <v>8</v>
      </c>
      <c r="G46" s="154">
        <v>7.5</v>
      </c>
      <c r="I46" s="154">
        <v>7</v>
      </c>
      <c r="J46" s="154">
        <v>8</v>
      </c>
      <c r="K46" s="154">
        <v>7.5</v>
      </c>
      <c r="M46" s="154">
        <v>7</v>
      </c>
      <c r="N46" s="154">
        <v>8</v>
      </c>
      <c r="O46" s="154">
        <v>7.5</v>
      </c>
    </row>
    <row r="47" spans="1:15" x14ac:dyDescent="0.3">
      <c r="A47" s="154">
        <v>7.5</v>
      </c>
      <c r="B47" s="154">
        <v>8</v>
      </c>
      <c r="C47" s="154">
        <v>6.5</v>
      </c>
      <c r="E47" s="154">
        <v>7.5</v>
      </c>
      <c r="F47" s="154">
        <v>8</v>
      </c>
      <c r="G47" s="154">
        <v>6.5</v>
      </c>
      <c r="I47" s="154">
        <v>7.5</v>
      </c>
      <c r="J47" s="154">
        <v>8</v>
      </c>
      <c r="K47" s="154">
        <v>6.5</v>
      </c>
      <c r="M47" s="154">
        <v>7.5</v>
      </c>
      <c r="N47" s="154">
        <v>8</v>
      </c>
      <c r="O47" s="154">
        <v>6.5</v>
      </c>
    </row>
    <row r="49" spans="1:15" x14ac:dyDescent="0.3">
      <c r="A49" s="256" t="s">
        <v>242</v>
      </c>
      <c r="B49" s="257"/>
      <c r="C49" s="257"/>
      <c r="E49" s="256" t="s">
        <v>243</v>
      </c>
      <c r="F49" s="257"/>
      <c r="G49" s="257"/>
      <c r="I49" s="256" t="s">
        <v>244</v>
      </c>
      <c r="J49" s="257"/>
      <c r="K49" s="257"/>
      <c r="M49" s="256" t="s">
        <v>245</v>
      </c>
      <c r="N49" s="257"/>
      <c r="O49" s="257"/>
    </row>
    <row r="50" spans="1:15" x14ac:dyDescent="0.3">
      <c r="A50" s="154">
        <f ca="1">6*RAND()+5</f>
        <v>6.6982487797719905</v>
      </c>
      <c r="B50" s="154">
        <v>7.6</v>
      </c>
      <c r="C50" s="154">
        <v>8.6999999999999993</v>
      </c>
      <c r="E50" s="154">
        <f ca="1">6*RAND()+5</f>
        <v>7.6984158890733987</v>
      </c>
      <c r="F50" s="154">
        <v>7.6</v>
      </c>
      <c r="G50" s="154">
        <v>8.6999999999999993</v>
      </c>
      <c r="I50" s="154">
        <f ca="1">6*RAND()+5</f>
        <v>10.647998779359327</v>
      </c>
      <c r="J50" s="154">
        <v>7.6</v>
      </c>
      <c r="K50" s="154">
        <v>8.6999999999999993</v>
      </c>
      <c r="M50" s="154">
        <f ca="1">6*RAND()+5</f>
        <v>10.762544448053639</v>
      </c>
      <c r="N50" s="154">
        <v>7.6</v>
      </c>
      <c r="O50" s="154">
        <v>8.6999999999999993</v>
      </c>
    </row>
    <row r="51" spans="1:15" x14ac:dyDescent="0.3">
      <c r="A51" s="154">
        <v>6.1</v>
      </c>
      <c r="B51" s="154">
        <v>10.6</v>
      </c>
      <c r="C51" s="154">
        <v>9.8000000000000007</v>
      </c>
      <c r="E51" s="154">
        <v>6.1</v>
      </c>
      <c r="F51" s="154">
        <v>10.6</v>
      </c>
      <c r="G51" s="154">
        <v>9.8000000000000007</v>
      </c>
      <c r="I51" s="154">
        <v>6.1</v>
      </c>
      <c r="J51" s="154">
        <v>10.6</v>
      </c>
      <c r="K51" s="154">
        <v>9.8000000000000007</v>
      </c>
      <c r="M51" s="154">
        <v>6.1</v>
      </c>
      <c r="N51" s="154">
        <v>10.6</v>
      </c>
      <c r="O51" s="154">
        <v>9.8000000000000007</v>
      </c>
    </row>
    <row r="52" spans="1:15" x14ac:dyDescent="0.3">
      <c r="A52" s="154">
        <v>7</v>
      </c>
      <c r="B52" s="154">
        <v>6</v>
      </c>
      <c r="C52" s="154">
        <v>8.3000000000000007</v>
      </c>
      <c r="E52" s="154">
        <v>7</v>
      </c>
      <c r="F52" s="154">
        <v>6</v>
      </c>
      <c r="G52" s="154">
        <v>8.3000000000000007</v>
      </c>
      <c r="I52" s="154">
        <v>7</v>
      </c>
      <c r="J52" s="154">
        <v>6</v>
      </c>
      <c r="K52" s="154">
        <v>8.3000000000000007</v>
      </c>
      <c r="M52" s="154">
        <v>7</v>
      </c>
      <c r="N52" s="154">
        <v>6</v>
      </c>
      <c r="O52" s="154">
        <v>8.3000000000000007</v>
      </c>
    </row>
    <row r="53" spans="1:15" x14ac:dyDescent="0.3">
      <c r="A53" s="154">
        <v>6</v>
      </c>
      <c r="B53" s="154">
        <v>8.1999999999999993</v>
      </c>
      <c r="C53" s="154">
        <v>8.5</v>
      </c>
      <c r="E53" s="154">
        <v>6</v>
      </c>
      <c r="F53" s="154">
        <v>8.1999999999999993</v>
      </c>
      <c r="G53" s="154">
        <v>8.5</v>
      </c>
      <c r="I53" s="154">
        <v>6</v>
      </c>
      <c r="J53" s="154">
        <v>8.1999999999999993</v>
      </c>
      <c r="K53" s="154">
        <v>8.5</v>
      </c>
      <c r="M53" s="154">
        <v>6</v>
      </c>
      <c r="N53" s="154">
        <v>8.1999999999999993</v>
      </c>
      <c r="O53" s="154">
        <v>8.5</v>
      </c>
    </row>
    <row r="54" spans="1:15" x14ac:dyDescent="0.3">
      <c r="A54" s="154">
        <v>7.4</v>
      </c>
      <c r="B54" s="154">
        <v>7.1</v>
      </c>
      <c r="C54" s="154">
        <v>9.5</v>
      </c>
      <c r="E54" s="154">
        <v>7.4</v>
      </c>
      <c r="F54" s="154">
        <v>7.1</v>
      </c>
      <c r="G54" s="154">
        <v>9.5</v>
      </c>
      <c r="I54" s="154">
        <v>7.4</v>
      </c>
      <c r="J54" s="154">
        <v>7.1</v>
      </c>
      <c r="K54" s="154">
        <v>9.5</v>
      </c>
      <c r="M54" s="154">
        <v>7.4</v>
      </c>
      <c r="N54" s="154">
        <v>7.1</v>
      </c>
      <c r="O54" s="154">
        <v>9.5</v>
      </c>
    </row>
    <row r="55" spans="1:15" x14ac:dyDescent="0.3">
      <c r="A55" s="154">
        <v>6.8</v>
      </c>
      <c r="B55" s="154">
        <v>9.6</v>
      </c>
      <c r="C55" s="154">
        <v>6.3</v>
      </c>
      <c r="E55" s="154">
        <v>6.8</v>
      </c>
      <c r="F55" s="154">
        <v>9.6</v>
      </c>
      <c r="G55" s="154">
        <v>6.3</v>
      </c>
      <c r="I55" s="154">
        <v>6.8</v>
      </c>
      <c r="J55" s="154">
        <v>9.6</v>
      </c>
      <c r="K55" s="154">
        <v>6.3</v>
      </c>
      <c r="M55" s="154">
        <v>6.8</v>
      </c>
      <c r="N55" s="154">
        <v>9.6</v>
      </c>
      <c r="O55" s="154">
        <v>6.3</v>
      </c>
    </row>
    <row r="56" spans="1:15" x14ac:dyDescent="0.3">
      <c r="A56" s="154">
        <v>6.3</v>
      </c>
      <c r="B56" s="154">
        <v>8.5</v>
      </c>
      <c r="C56" s="154">
        <v>5.8</v>
      </c>
      <c r="E56" s="154">
        <v>6.3</v>
      </c>
      <c r="F56" s="154">
        <v>8.5</v>
      </c>
      <c r="G56" s="154">
        <v>5.8</v>
      </c>
      <c r="I56" s="154">
        <v>6.3</v>
      </c>
      <c r="J56" s="154">
        <v>8.5</v>
      </c>
      <c r="K56" s="154">
        <v>5.8</v>
      </c>
      <c r="M56" s="154">
        <v>6.3</v>
      </c>
      <c r="N56" s="154">
        <v>8.5</v>
      </c>
      <c r="O56" s="154">
        <v>5.8</v>
      </c>
    </row>
    <row r="57" spans="1:15" x14ac:dyDescent="0.3">
      <c r="A57" s="154">
        <v>7.5</v>
      </c>
      <c r="B57" s="154">
        <v>9.1999999999999993</v>
      </c>
      <c r="C57" s="154">
        <v>7.2</v>
      </c>
      <c r="E57" s="154">
        <v>7.5</v>
      </c>
      <c r="F57" s="154">
        <v>9.1999999999999993</v>
      </c>
      <c r="G57" s="154">
        <v>7.2</v>
      </c>
      <c r="I57" s="154">
        <v>7.5</v>
      </c>
      <c r="J57" s="154">
        <v>9.1999999999999993</v>
      </c>
      <c r="K57" s="154">
        <v>7.2</v>
      </c>
      <c r="M57" s="154">
        <v>7.5</v>
      </c>
      <c r="N57" s="154">
        <v>9.1999999999999993</v>
      </c>
      <c r="O57" s="154">
        <v>7.2</v>
      </c>
    </row>
    <row r="58" spans="1:15" x14ac:dyDescent="0.3">
      <c r="A58" s="154">
        <v>7</v>
      </c>
      <c r="B58" s="154">
        <v>8</v>
      </c>
      <c r="C58" s="154">
        <v>7.5</v>
      </c>
      <c r="E58" s="154">
        <v>7</v>
      </c>
      <c r="F58" s="154">
        <v>8</v>
      </c>
      <c r="G58" s="154">
        <v>7.5</v>
      </c>
      <c r="I58" s="154">
        <v>7</v>
      </c>
      <c r="J58" s="154">
        <v>8</v>
      </c>
      <c r="K58" s="154">
        <v>7.5</v>
      </c>
      <c r="M58" s="154">
        <v>7</v>
      </c>
      <c r="N58" s="154">
        <v>8</v>
      </c>
      <c r="O58" s="154">
        <v>7.5</v>
      </c>
    </row>
    <row r="59" spans="1:15" x14ac:dyDescent="0.3">
      <c r="A59" s="154">
        <v>7.5</v>
      </c>
      <c r="B59" s="154">
        <v>8</v>
      </c>
      <c r="C59" s="154">
        <v>6.5</v>
      </c>
      <c r="E59" s="154">
        <v>7.5</v>
      </c>
      <c r="F59" s="154">
        <v>8</v>
      </c>
      <c r="G59" s="154">
        <v>6.5</v>
      </c>
      <c r="I59" s="154">
        <v>7.5</v>
      </c>
      <c r="J59" s="154">
        <v>8</v>
      </c>
      <c r="K59" s="154">
        <v>6.5</v>
      </c>
      <c r="M59" s="154">
        <v>7.5</v>
      </c>
      <c r="N59" s="154">
        <v>8</v>
      </c>
      <c r="O59" s="154">
        <v>6.5</v>
      </c>
    </row>
    <row r="61" spans="1:15" x14ac:dyDescent="0.3">
      <c r="A61" s="256" t="s">
        <v>246</v>
      </c>
      <c r="B61" s="257"/>
      <c r="C61" s="257"/>
      <c r="E61" s="256" t="s">
        <v>247</v>
      </c>
      <c r="F61" s="257"/>
      <c r="G61" s="257"/>
      <c r="I61" s="256" t="s">
        <v>248</v>
      </c>
      <c r="J61" s="257"/>
      <c r="K61" s="257"/>
      <c r="M61" s="256" t="s">
        <v>249</v>
      </c>
      <c r="N61" s="257"/>
      <c r="O61" s="257"/>
    </row>
    <row r="62" spans="1:15" x14ac:dyDescent="0.3">
      <c r="A62" s="154">
        <f ca="1">6*RAND()+5</f>
        <v>8.1771611768222989</v>
      </c>
      <c r="B62" s="154">
        <v>7.6</v>
      </c>
      <c r="C62" s="154">
        <v>8.6999999999999993</v>
      </c>
      <c r="E62" s="154">
        <f ca="1">6*RAND()+5</f>
        <v>8.7306627218837836</v>
      </c>
      <c r="F62" s="154">
        <v>7.6</v>
      </c>
      <c r="G62" s="154">
        <v>8.6999999999999993</v>
      </c>
      <c r="I62" s="154">
        <f ca="1">6*RAND()+5</f>
        <v>5.1697754887677849</v>
      </c>
      <c r="J62" s="154">
        <v>7.6</v>
      </c>
      <c r="K62" s="154">
        <v>8.6999999999999993</v>
      </c>
      <c r="M62" s="154">
        <f ca="1">6*RAND()+5</f>
        <v>6.0294639256946319</v>
      </c>
      <c r="N62" s="154">
        <v>7.6</v>
      </c>
      <c r="O62" s="154">
        <v>8.6999999999999993</v>
      </c>
    </row>
    <row r="63" spans="1:15" x14ac:dyDescent="0.3">
      <c r="A63" s="154">
        <v>6.1</v>
      </c>
      <c r="B63" s="154">
        <v>10.6</v>
      </c>
      <c r="C63" s="154">
        <v>9.8000000000000007</v>
      </c>
      <c r="E63" s="154">
        <v>6.1</v>
      </c>
      <c r="F63" s="154">
        <v>10.6</v>
      </c>
      <c r="G63" s="154">
        <v>9.8000000000000007</v>
      </c>
      <c r="I63" s="154">
        <v>6.1</v>
      </c>
      <c r="J63" s="154">
        <v>10.6</v>
      </c>
      <c r="K63" s="154">
        <v>9.8000000000000007</v>
      </c>
      <c r="M63" s="154">
        <v>6.1</v>
      </c>
      <c r="N63" s="154">
        <v>10.6</v>
      </c>
      <c r="O63" s="154">
        <v>9.8000000000000007</v>
      </c>
    </row>
    <row r="64" spans="1:15" x14ac:dyDescent="0.3">
      <c r="A64" s="154">
        <v>7</v>
      </c>
      <c r="B64" s="154">
        <v>6</v>
      </c>
      <c r="C64" s="154">
        <v>8.3000000000000007</v>
      </c>
      <c r="E64" s="154">
        <v>7</v>
      </c>
      <c r="F64" s="154">
        <v>6</v>
      </c>
      <c r="G64" s="154">
        <v>8.3000000000000007</v>
      </c>
      <c r="I64" s="154">
        <v>7</v>
      </c>
      <c r="J64" s="154">
        <v>6</v>
      </c>
      <c r="K64" s="154">
        <v>8.3000000000000007</v>
      </c>
      <c r="M64" s="154">
        <v>7</v>
      </c>
      <c r="N64" s="154">
        <v>6</v>
      </c>
      <c r="O64" s="154">
        <v>8.3000000000000007</v>
      </c>
    </row>
    <row r="65" spans="1:15" x14ac:dyDescent="0.3">
      <c r="A65" s="154">
        <v>6</v>
      </c>
      <c r="B65" s="154">
        <v>8.1999999999999993</v>
      </c>
      <c r="C65" s="154">
        <v>8.5</v>
      </c>
      <c r="E65" s="154">
        <v>6</v>
      </c>
      <c r="F65" s="154">
        <v>8.1999999999999993</v>
      </c>
      <c r="G65" s="154">
        <v>8.5</v>
      </c>
      <c r="I65" s="154">
        <v>6</v>
      </c>
      <c r="J65" s="154">
        <v>8.1999999999999993</v>
      </c>
      <c r="K65" s="154">
        <v>8.5</v>
      </c>
      <c r="M65" s="154">
        <v>6</v>
      </c>
      <c r="N65" s="154">
        <v>8.1999999999999993</v>
      </c>
      <c r="O65" s="154">
        <v>8.5</v>
      </c>
    </row>
    <row r="66" spans="1:15" x14ac:dyDescent="0.3">
      <c r="A66" s="154">
        <v>7.4</v>
      </c>
      <c r="B66" s="154">
        <v>7.1</v>
      </c>
      <c r="C66" s="154">
        <v>9.5</v>
      </c>
      <c r="E66" s="154">
        <v>7.4</v>
      </c>
      <c r="F66" s="154">
        <v>7.1</v>
      </c>
      <c r="G66" s="154">
        <v>9.5</v>
      </c>
      <c r="I66" s="154">
        <v>7.4</v>
      </c>
      <c r="J66" s="154">
        <v>7.1</v>
      </c>
      <c r="K66" s="154">
        <v>9.5</v>
      </c>
      <c r="M66" s="154">
        <v>7.4</v>
      </c>
      <c r="N66" s="154">
        <v>7.1</v>
      </c>
      <c r="O66" s="154">
        <v>9.5</v>
      </c>
    </row>
    <row r="67" spans="1:15" x14ac:dyDescent="0.3">
      <c r="A67" s="154">
        <v>6.8</v>
      </c>
      <c r="B67" s="154">
        <v>9.6</v>
      </c>
      <c r="C67" s="154">
        <v>6.3</v>
      </c>
      <c r="E67" s="154">
        <v>6.8</v>
      </c>
      <c r="F67" s="154">
        <v>9.6</v>
      </c>
      <c r="G67" s="154">
        <v>6.3</v>
      </c>
      <c r="I67" s="154">
        <v>6.8</v>
      </c>
      <c r="J67" s="154">
        <v>9.6</v>
      </c>
      <c r="K67" s="154">
        <v>6.3</v>
      </c>
      <c r="M67" s="154">
        <v>6.8</v>
      </c>
      <c r="N67" s="154">
        <v>9.6</v>
      </c>
      <c r="O67" s="154">
        <v>6.3</v>
      </c>
    </row>
    <row r="68" spans="1:15" x14ac:dyDescent="0.3">
      <c r="A68" s="154">
        <v>6.3</v>
      </c>
      <c r="B68" s="154">
        <v>8.5</v>
      </c>
      <c r="C68" s="154">
        <v>5.8</v>
      </c>
      <c r="E68" s="154">
        <v>6.3</v>
      </c>
      <c r="F68" s="154">
        <v>8.5</v>
      </c>
      <c r="G68" s="154">
        <v>5.8</v>
      </c>
      <c r="I68" s="154">
        <v>6.3</v>
      </c>
      <c r="J68" s="154">
        <v>8.5</v>
      </c>
      <c r="K68" s="154">
        <v>5.8</v>
      </c>
      <c r="M68" s="154">
        <v>6.3</v>
      </c>
      <c r="N68" s="154">
        <v>8.5</v>
      </c>
      <c r="O68" s="154">
        <v>5.8</v>
      </c>
    </row>
    <row r="69" spans="1:15" x14ac:dyDescent="0.3">
      <c r="A69" s="154">
        <v>7.5</v>
      </c>
      <c r="B69" s="154">
        <v>9.1999999999999993</v>
      </c>
      <c r="C69" s="154">
        <v>7.2</v>
      </c>
      <c r="E69" s="154">
        <v>7.5</v>
      </c>
      <c r="F69" s="154">
        <v>9.1999999999999993</v>
      </c>
      <c r="G69" s="154">
        <v>7.2</v>
      </c>
      <c r="I69" s="154">
        <v>7.5</v>
      </c>
      <c r="J69" s="154">
        <v>9.1999999999999993</v>
      </c>
      <c r="K69" s="154">
        <v>7.2</v>
      </c>
      <c r="M69" s="154">
        <v>7.5</v>
      </c>
      <c r="N69" s="154">
        <v>9.1999999999999993</v>
      </c>
      <c r="O69" s="154">
        <v>7.2</v>
      </c>
    </row>
    <row r="70" spans="1:15" x14ac:dyDescent="0.3">
      <c r="A70" s="154">
        <v>7</v>
      </c>
      <c r="B70" s="154">
        <v>8</v>
      </c>
      <c r="C70" s="154">
        <v>7.5</v>
      </c>
      <c r="E70" s="154">
        <v>7</v>
      </c>
      <c r="F70" s="154">
        <v>8</v>
      </c>
      <c r="G70" s="154">
        <v>7.5</v>
      </c>
      <c r="I70" s="154">
        <v>7</v>
      </c>
      <c r="J70" s="154">
        <v>8</v>
      </c>
      <c r="K70" s="154">
        <v>7.5</v>
      </c>
      <c r="M70" s="154">
        <v>7</v>
      </c>
      <c r="N70" s="154">
        <v>8</v>
      </c>
      <c r="O70" s="154">
        <v>7.5</v>
      </c>
    </row>
    <row r="71" spans="1:15" x14ac:dyDescent="0.3">
      <c r="A71" s="154">
        <v>7.5</v>
      </c>
      <c r="B71" s="154">
        <v>8</v>
      </c>
      <c r="C71" s="154">
        <v>6.5</v>
      </c>
      <c r="E71" s="154">
        <v>7.5</v>
      </c>
      <c r="F71" s="154">
        <v>8</v>
      </c>
      <c r="G71" s="154">
        <v>6.5</v>
      </c>
      <c r="I71" s="154">
        <v>7.5</v>
      </c>
      <c r="J71" s="154">
        <v>8</v>
      </c>
      <c r="K71" s="154">
        <v>6.5</v>
      </c>
      <c r="M71" s="154">
        <v>7.5</v>
      </c>
      <c r="N71" s="154">
        <v>8</v>
      </c>
      <c r="O71" s="154">
        <v>6.5</v>
      </c>
    </row>
  </sheetData>
  <mergeCells count="24">
    <mergeCell ref="A49:C49"/>
    <mergeCell ref="E49:G49"/>
    <mergeCell ref="I49:K49"/>
    <mergeCell ref="M49:O49"/>
    <mergeCell ref="A61:C61"/>
    <mergeCell ref="E61:G61"/>
    <mergeCell ref="I61:K61"/>
    <mergeCell ref="M61:O61"/>
    <mergeCell ref="A25:C25"/>
    <mergeCell ref="E25:G25"/>
    <mergeCell ref="I25:K25"/>
    <mergeCell ref="M25:O25"/>
    <mergeCell ref="A37:C37"/>
    <mergeCell ref="E37:G37"/>
    <mergeCell ref="I37:K37"/>
    <mergeCell ref="M37:O37"/>
    <mergeCell ref="A1:C1"/>
    <mergeCell ref="E1:G1"/>
    <mergeCell ref="I1:K1"/>
    <mergeCell ref="M1:O1"/>
    <mergeCell ref="A13:C13"/>
    <mergeCell ref="E13:G13"/>
    <mergeCell ref="I13:K13"/>
    <mergeCell ref="M13:O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topLeftCell="A7" zoomScaleNormal="100" workbookViewId="0">
      <selection activeCell="G29" sqref="B2:G29"/>
    </sheetView>
  </sheetViews>
  <sheetFormatPr defaultRowHeight="20.25" x14ac:dyDescent="0.3"/>
  <cols>
    <col min="1" max="2" width="9.140625" style="24"/>
    <col min="3" max="3" width="14.5703125" style="24" customWidth="1"/>
    <col min="4" max="4" width="16.140625" style="24" customWidth="1"/>
    <col min="5" max="5" width="16.28515625" style="24" bestFit="1" customWidth="1"/>
    <col min="6" max="6" width="15.7109375" style="24" customWidth="1"/>
    <col min="7" max="7" width="14" style="24" customWidth="1"/>
    <col min="8" max="16384" width="9.140625" style="24"/>
  </cols>
  <sheetData>
    <row r="2" spans="2:7" ht="21" x14ac:dyDescent="0.35">
      <c r="B2" s="243" t="s">
        <v>204</v>
      </c>
      <c r="C2" s="245" t="s">
        <v>250</v>
      </c>
      <c r="D2" s="259"/>
      <c r="E2" s="259"/>
      <c r="F2" s="260"/>
      <c r="G2" s="260"/>
    </row>
    <row r="3" spans="2:7" ht="21" x14ac:dyDescent="0.35">
      <c r="B3" s="243"/>
      <c r="C3" s="148" t="s">
        <v>251</v>
      </c>
      <c r="D3" s="148" t="s">
        <v>252</v>
      </c>
      <c r="E3" s="148" t="s">
        <v>253</v>
      </c>
      <c r="F3" s="148" t="s">
        <v>254</v>
      </c>
      <c r="G3" s="148" t="s">
        <v>255</v>
      </c>
    </row>
    <row r="4" spans="2:7" ht="21" x14ac:dyDescent="0.35">
      <c r="B4" s="258"/>
      <c r="C4" s="247" t="s">
        <v>31</v>
      </c>
      <c r="D4" s="261"/>
      <c r="E4" s="261"/>
      <c r="F4" s="261"/>
      <c r="G4" s="262"/>
    </row>
    <row r="5" spans="2:7" x14ac:dyDescent="0.3">
      <c r="B5" s="36">
        <v>1</v>
      </c>
      <c r="C5" s="155">
        <f t="shared" ref="C5:C29" ca="1" si="0">RANDBETWEEN(5,50)</f>
        <v>33</v>
      </c>
      <c r="D5" s="155">
        <f t="shared" ref="D5:G20" ca="1" si="1">RANDBETWEEN(5,50)</f>
        <v>7</v>
      </c>
      <c r="E5" s="155">
        <f t="shared" ca="1" si="1"/>
        <v>32</v>
      </c>
      <c r="F5" s="155">
        <f t="shared" ca="1" si="1"/>
        <v>27</v>
      </c>
      <c r="G5" s="155">
        <f t="shared" ca="1" si="1"/>
        <v>36</v>
      </c>
    </row>
    <row r="6" spans="2:7" x14ac:dyDescent="0.3">
      <c r="B6" s="36">
        <v>2</v>
      </c>
      <c r="C6" s="155">
        <f t="shared" ca="1" si="0"/>
        <v>11</v>
      </c>
      <c r="D6" s="155">
        <f t="shared" ca="1" si="1"/>
        <v>34</v>
      </c>
      <c r="E6" s="155">
        <f t="shared" ca="1" si="1"/>
        <v>37</v>
      </c>
      <c r="F6" s="155">
        <f t="shared" ca="1" si="1"/>
        <v>38</v>
      </c>
      <c r="G6" s="155">
        <f t="shared" ca="1" si="1"/>
        <v>23</v>
      </c>
    </row>
    <row r="7" spans="2:7" x14ac:dyDescent="0.3">
      <c r="B7" s="36">
        <v>3</v>
      </c>
      <c r="C7" s="155">
        <f t="shared" ca="1" si="0"/>
        <v>17</v>
      </c>
      <c r="D7" s="155">
        <f t="shared" ca="1" si="1"/>
        <v>43</v>
      </c>
      <c r="E7" s="155">
        <f t="shared" ca="1" si="1"/>
        <v>5</v>
      </c>
      <c r="F7" s="155">
        <f t="shared" ca="1" si="1"/>
        <v>14</v>
      </c>
      <c r="G7" s="155">
        <f t="shared" ca="1" si="1"/>
        <v>13</v>
      </c>
    </row>
    <row r="8" spans="2:7" x14ac:dyDescent="0.3">
      <c r="B8" s="36">
        <v>4</v>
      </c>
      <c r="C8" s="155">
        <f t="shared" ca="1" si="0"/>
        <v>46</v>
      </c>
      <c r="D8" s="155">
        <f t="shared" ca="1" si="1"/>
        <v>5</v>
      </c>
      <c r="E8" s="155">
        <f t="shared" ca="1" si="1"/>
        <v>19</v>
      </c>
      <c r="F8" s="155">
        <f t="shared" ca="1" si="1"/>
        <v>31</v>
      </c>
      <c r="G8" s="155">
        <f t="shared" ca="1" si="1"/>
        <v>44</v>
      </c>
    </row>
    <row r="9" spans="2:7" x14ac:dyDescent="0.3">
      <c r="B9" s="36">
        <v>5</v>
      </c>
      <c r="C9" s="155">
        <f t="shared" ca="1" si="0"/>
        <v>18</v>
      </c>
      <c r="D9" s="155">
        <f t="shared" ca="1" si="1"/>
        <v>26</v>
      </c>
      <c r="E9" s="155">
        <f t="shared" ca="1" si="1"/>
        <v>23</v>
      </c>
      <c r="F9" s="155">
        <f t="shared" ca="1" si="1"/>
        <v>10</v>
      </c>
      <c r="G9" s="155">
        <f t="shared" ca="1" si="1"/>
        <v>24</v>
      </c>
    </row>
    <row r="10" spans="2:7" x14ac:dyDescent="0.3">
      <c r="B10" s="36">
        <v>6</v>
      </c>
      <c r="C10" s="155">
        <f t="shared" ca="1" si="0"/>
        <v>26</v>
      </c>
      <c r="D10" s="155">
        <f t="shared" ca="1" si="1"/>
        <v>18</v>
      </c>
      <c r="E10" s="155">
        <f t="shared" ca="1" si="1"/>
        <v>12</v>
      </c>
      <c r="F10" s="155">
        <f t="shared" ca="1" si="1"/>
        <v>39</v>
      </c>
      <c r="G10" s="155">
        <f t="shared" ca="1" si="1"/>
        <v>21</v>
      </c>
    </row>
    <row r="11" spans="2:7" x14ac:dyDescent="0.3">
      <c r="B11" s="36">
        <v>7</v>
      </c>
      <c r="C11" s="155">
        <f t="shared" ca="1" si="0"/>
        <v>35</v>
      </c>
      <c r="D11" s="155">
        <f t="shared" ca="1" si="1"/>
        <v>23</v>
      </c>
      <c r="E11" s="155">
        <f t="shared" ca="1" si="1"/>
        <v>49</v>
      </c>
      <c r="F11" s="155">
        <f t="shared" ca="1" si="1"/>
        <v>15</v>
      </c>
      <c r="G11" s="155">
        <f t="shared" ca="1" si="1"/>
        <v>45</v>
      </c>
    </row>
    <row r="12" spans="2:7" x14ac:dyDescent="0.3">
      <c r="B12" s="36">
        <v>8</v>
      </c>
      <c r="C12" s="155">
        <f t="shared" ca="1" si="0"/>
        <v>29</v>
      </c>
      <c r="D12" s="155">
        <f t="shared" ca="1" si="1"/>
        <v>17</v>
      </c>
      <c r="E12" s="155">
        <f t="shared" ca="1" si="1"/>
        <v>45</v>
      </c>
      <c r="F12" s="155">
        <f t="shared" ca="1" si="1"/>
        <v>8</v>
      </c>
      <c r="G12" s="155">
        <f t="shared" ca="1" si="1"/>
        <v>30</v>
      </c>
    </row>
    <row r="13" spans="2:7" x14ac:dyDescent="0.3">
      <c r="B13" s="36">
        <v>9</v>
      </c>
      <c r="C13" s="155">
        <f t="shared" ca="1" si="0"/>
        <v>8</v>
      </c>
      <c r="D13" s="155">
        <f t="shared" ca="1" si="1"/>
        <v>11</v>
      </c>
      <c r="E13" s="155">
        <f t="shared" ca="1" si="1"/>
        <v>12</v>
      </c>
      <c r="F13" s="155">
        <f t="shared" ca="1" si="1"/>
        <v>38</v>
      </c>
      <c r="G13" s="155">
        <f t="shared" ca="1" si="1"/>
        <v>42</v>
      </c>
    </row>
    <row r="14" spans="2:7" x14ac:dyDescent="0.3">
      <c r="B14" s="36">
        <v>10</v>
      </c>
      <c r="C14" s="155">
        <f t="shared" ca="1" si="0"/>
        <v>17</v>
      </c>
      <c r="D14" s="155">
        <f t="shared" ca="1" si="1"/>
        <v>39</v>
      </c>
      <c r="E14" s="155">
        <f t="shared" ca="1" si="1"/>
        <v>15</v>
      </c>
      <c r="F14" s="155">
        <f t="shared" ca="1" si="1"/>
        <v>33</v>
      </c>
      <c r="G14" s="155">
        <f t="shared" ca="1" si="1"/>
        <v>8</v>
      </c>
    </row>
    <row r="15" spans="2:7" x14ac:dyDescent="0.3">
      <c r="B15" s="36">
        <v>11</v>
      </c>
      <c r="C15" s="155">
        <f t="shared" ca="1" si="0"/>
        <v>19</v>
      </c>
      <c r="D15" s="155">
        <f t="shared" ca="1" si="1"/>
        <v>43</v>
      </c>
      <c r="E15" s="155">
        <f t="shared" ca="1" si="1"/>
        <v>10</v>
      </c>
      <c r="F15" s="155">
        <f t="shared" ca="1" si="1"/>
        <v>22</v>
      </c>
      <c r="G15" s="155">
        <f t="shared" ca="1" si="1"/>
        <v>47</v>
      </c>
    </row>
    <row r="16" spans="2:7" x14ac:dyDescent="0.3">
      <c r="B16" s="36">
        <v>12</v>
      </c>
      <c r="C16" s="155">
        <f t="shared" ca="1" si="0"/>
        <v>8</v>
      </c>
      <c r="D16" s="155">
        <f t="shared" ca="1" si="1"/>
        <v>8</v>
      </c>
      <c r="E16" s="155">
        <f t="shared" ca="1" si="1"/>
        <v>31</v>
      </c>
      <c r="F16" s="155">
        <f t="shared" ca="1" si="1"/>
        <v>24</v>
      </c>
      <c r="G16" s="155">
        <f t="shared" ca="1" si="1"/>
        <v>42</v>
      </c>
    </row>
    <row r="17" spans="2:7" x14ac:dyDescent="0.3">
      <c r="B17" s="36">
        <v>13</v>
      </c>
      <c r="C17" s="155">
        <f t="shared" ca="1" si="0"/>
        <v>6</v>
      </c>
      <c r="D17" s="155">
        <f t="shared" ca="1" si="1"/>
        <v>13</v>
      </c>
      <c r="E17" s="155">
        <f t="shared" ca="1" si="1"/>
        <v>7</v>
      </c>
      <c r="F17" s="155">
        <f t="shared" ca="1" si="1"/>
        <v>34</v>
      </c>
      <c r="G17" s="155">
        <f t="shared" ca="1" si="1"/>
        <v>15</v>
      </c>
    </row>
    <row r="18" spans="2:7" x14ac:dyDescent="0.3">
      <c r="B18" s="36">
        <v>14</v>
      </c>
      <c r="C18" s="155">
        <f t="shared" ca="1" si="0"/>
        <v>39</v>
      </c>
      <c r="D18" s="155">
        <f t="shared" ca="1" si="1"/>
        <v>43</v>
      </c>
      <c r="E18" s="155">
        <f t="shared" ca="1" si="1"/>
        <v>43</v>
      </c>
      <c r="F18" s="155">
        <f t="shared" ca="1" si="1"/>
        <v>9</v>
      </c>
      <c r="G18" s="155">
        <f t="shared" ca="1" si="1"/>
        <v>26</v>
      </c>
    </row>
    <row r="19" spans="2:7" x14ac:dyDescent="0.3">
      <c r="B19" s="36">
        <v>15</v>
      </c>
      <c r="C19" s="155">
        <f t="shared" ca="1" si="0"/>
        <v>47</v>
      </c>
      <c r="D19" s="155">
        <f t="shared" ca="1" si="1"/>
        <v>28</v>
      </c>
      <c r="E19" s="155">
        <f t="shared" ca="1" si="1"/>
        <v>15</v>
      </c>
      <c r="F19" s="155">
        <f t="shared" ca="1" si="1"/>
        <v>26</v>
      </c>
      <c r="G19" s="155">
        <f t="shared" ca="1" si="1"/>
        <v>37</v>
      </c>
    </row>
    <row r="20" spans="2:7" x14ac:dyDescent="0.3">
      <c r="B20" s="36">
        <v>16</v>
      </c>
      <c r="C20" s="155">
        <f t="shared" ca="1" si="0"/>
        <v>12</v>
      </c>
      <c r="D20" s="155">
        <f t="shared" ca="1" si="1"/>
        <v>11</v>
      </c>
      <c r="E20" s="155">
        <f t="shared" ca="1" si="1"/>
        <v>14</v>
      </c>
      <c r="F20" s="155">
        <f t="shared" ca="1" si="1"/>
        <v>14</v>
      </c>
      <c r="G20" s="155">
        <f t="shared" ca="1" si="1"/>
        <v>33</v>
      </c>
    </row>
    <row r="21" spans="2:7" x14ac:dyDescent="0.3">
      <c r="B21" s="36">
        <v>17</v>
      </c>
      <c r="C21" s="155">
        <f t="shared" ca="1" si="0"/>
        <v>32</v>
      </c>
      <c r="D21" s="155">
        <f t="shared" ref="D21:G25" ca="1" si="2">RANDBETWEEN(5,50)</f>
        <v>28</v>
      </c>
      <c r="E21" s="155">
        <f t="shared" ca="1" si="2"/>
        <v>16</v>
      </c>
      <c r="F21" s="155">
        <f t="shared" ca="1" si="2"/>
        <v>32</v>
      </c>
      <c r="G21" s="155">
        <f t="shared" ca="1" si="2"/>
        <v>39</v>
      </c>
    </row>
    <row r="22" spans="2:7" x14ac:dyDescent="0.3">
      <c r="B22" s="36">
        <v>18</v>
      </c>
      <c r="C22" s="155">
        <f t="shared" ca="1" si="0"/>
        <v>11</v>
      </c>
      <c r="D22" s="155">
        <f t="shared" ca="1" si="2"/>
        <v>19</v>
      </c>
      <c r="E22" s="155">
        <f t="shared" ca="1" si="2"/>
        <v>50</v>
      </c>
      <c r="F22" s="155">
        <f t="shared" ca="1" si="2"/>
        <v>27</v>
      </c>
      <c r="G22" s="155">
        <f t="shared" ca="1" si="2"/>
        <v>24</v>
      </c>
    </row>
    <row r="23" spans="2:7" x14ac:dyDescent="0.3">
      <c r="B23" s="36">
        <v>19</v>
      </c>
      <c r="C23" s="155">
        <f t="shared" ca="1" si="0"/>
        <v>46</v>
      </c>
      <c r="D23" s="155">
        <f t="shared" ca="1" si="2"/>
        <v>47</v>
      </c>
      <c r="E23" s="155">
        <f t="shared" ca="1" si="2"/>
        <v>38</v>
      </c>
      <c r="F23" s="155">
        <f t="shared" ca="1" si="2"/>
        <v>7</v>
      </c>
      <c r="G23" s="155">
        <f t="shared" ca="1" si="2"/>
        <v>33</v>
      </c>
    </row>
    <row r="24" spans="2:7" x14ac:dyDescent="0.3">
      <c r="B24" s="36">
        <v>20</v>
      </c>
      <c r="C24" s="155">
        <f t="shared" ca="1" si="0"/>
        <v>46</v>
      </c>
      <c r="D24" s="155">
        <f t="shared" ca="1" si="2"/>
        <v>50</v>
      </c>
      <c r="E24" s="155">
        <f t="shared" ca="1" si="2"/>
        <v>40</v>
      </c>
      <c r="F24" s="155">
        <f t="shared" ca="1" si="2"/>
        <v>50</v>
      </c>
      <c r="G24" s="155">
        <f t="shared" ca="1" si="2"/>
        <v>8</v>
      </c>
    </row>
    <row r="25" spans="2:7" x14ac:dyDescent="0.3">
      <c r="B25" s="36">
        <v>21</v>
      </c>
      <c r="C25" s="155">
        <f t="shared" ca="1" si="0"/>
        <v>36</v>
      </c>
      <c r="D25" s="155">
        <f t="shared" ca="1" si="2"/>
        <v>46</v>
      </c>
      <c r="E25" s="155">
        <f t="shared" ca="1" si="2"/>
        <v>9</v>
      </c>
      <c r="F25" s="155">
        <f t="shared" ca="1" si="2"/>
        <v>37</v>
      </c>
      <c r="G25" s="155">
        <f t="shared" ca="1" si="2"/>
        <v>30</v>
      </c>
    </row>
    <row r="26" spans="2:7" x14ac:dyDescent="0.3">
      <c r="B26" s="36">
        <v>22</v>
      </c>
      <c r="C26" s="155">
        <f t="shared" ca="1" si="0"/>
        <v>13</v>
      </c>
      <c r="D26" s="155">
        <f t="shared" ref="D26:G29" ca="1" si="3">RANDBETWEEN(5,50)</f>
        <v>47</v>
      </c>
      <c r="E26" s="155">
        <f t="shared" ca="1" si="3"/>
        <v>21</v>
      </c>
      <c r="F26" s="155">
        <f t="shared" ca="1" si="3"/>
        <v>38</v>
      </c>
      <c r="G26" s="155">
        <f t="shared" ca="1" si="3"/>
        <v>30</v>
      </c>
    </row>
    <row r="27" spans="2:7" x14ac:dyDescent="0.3">
      <c r="B27" s="36">
        <v>23</v>
      </c>
      <c r="C27" s="155">
        <f t="shared" ca="1" si="0"/>
        <v>50</v>
      </c>
      <c r="D27" s="155">
        <f t="shared" ca="1" si="3"/>
        <v>34</v>
      </c>
      <c r="E27" s="155">
        <f t="shared" ca="1" si="3"/>
        <v>44</v>
      </c>
      <c r="F27" s="155">
        <f t="shared" ca="1" si="3"/>
        <v>41</v>
      </c>
      <c r="G27" s="155">
        <f t="shared" ca="1" si="3"/>
        <v>22</v>
      </c>
    </row>
    <row r="28" spans="2:7" x14ac:dyDescent="0.3">
      <c r="B28" s="36">
        <v>24</v>
      </c>
      <c r="C28" s="155">
        <f t="shared" ca="1" si="0"/>
        <v>49</v>
      </c>
      <c r="D28" s="155">
        <f t="shared" ca="1" si="3"/>
        <v>19</v>
      </c>
      <c r="E28" s="155">
        <f t="shared" ca="1" si="3"/>
        <v>47</v>
      </c>
      <c r="F28" s="155">
        <f t="shared" ca="1" si="3"/>
        <v>12</v>
      </c>
      <c r="G28" s="155">
        <f t="shared" ca="1" si="3"/>
        <v>39</v>
      </c>
    </row>
    <row r="29" spans="2:7" x14ac:dyDescent="0.3">
      <c r="B29" s="36">
        <v>25</v>
      </c>
      <c r="C29" s="155">
        <f t="shared" ca="1" si="0"/>
        <v>20</v>
      </c>
      <c r="D29" s="155">
        <f t="shared" ca="1" si="3"/>
        <v>49</v>
      </c>
      <c r="E29" s="155">
        <f t="shared" ca="1" si="3"/>
        <v>33</v>
      </c>
      <c r="F29" s="155">
        <f t="shared" ca="1" si="3"/>
        <v>9</v>
      </c>
      <c r="G29" s="155">
        <f t="shared" ca="1" si="3"/>
        <v>32</v>
      </c>
    </row>
  </sheetData>
  <mergeCells count="3">
    <mergeCell ref="B2:B4"/>
    <mergeCell ref="C2:G2"/>
    <mergeCell ref="C4:G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topLeftCell="M1" workbookViewId="0">
      <selection activeCell="V15" sqref="V15"/>
    </sheetView>
  </sheetViews>
  <sheetFormatPr defaultRowHeight="20.25" x14ac:dyDescent="0.3"/>
  <cols>
    <col min="1" max="1" width="9.140625" style="24"/>
    <col min="2" max="2" width="10.7109375" style="24" bestFit="1" customWidth="1"/>
    <col min="3" max="16384" width="9.140625" style="24"/>
  </cols>
  <sheetData>
    <row r="1" spans="1:24" x14ac:dyDescent="0.3">
      <c r="A1" s="53" t="s">
        <v>58</v>
      </c>
      <c r="B1" s="53" t="s">
        <v>59</v>
      </c>
      <c r="C1" s="53" t="s">
        <v>60</v>
      </c>
      <c r="D1" s="53" t="s">
        <v>61</v>
      </c>
      <c r="E1" s="53" t="s">
        <v>62</v>
      </c>
      <c r="F1" s="53" t="s">
        <v>63</v>
      </c>
      <c r="G1" s="53" t="s">
        <v>64</v>
      </c>
      <c r="H1" s="53" t="s">
        <v>178</v>
      </c>
      <c r="I1" s="53" t="s">
        <v>179</v>
      </c>
      <c r="J1" s="53" t="s">
        <v>260</v>
      </c>
      <c r="K1" s="53" t="s">
        <v>261</v>
      </c>
      <c r="L1" s="53" t="s">
        <v>262</v>
      </c>
    </row>
    <row r="2" spans="1:24" ht="23.25" customHeight="1" x14ac:dyDescent="0.4">
      <c r="A2" s="53">
        <v>2</v>
      </c>
      <c r="B2" s="153" t="s">
        <v>256</v>
      </c>
      <c r="C2" s="26">
        <v>15</v>
      </c>
      <c r="D2" s="26">
        <v>17</v>
      </c>
      <c r="E2" s="26">
        <v>13</v>
      </c>
      <c r="F2" s="26">
        <v>10</v>
      </c>
      <c r="G2" s="26">
        <v>21</v>
      </c>
      <c r="H2" s="26">
        <v>17</v>
      </c>
      <c r="I2" s="26">
        <v>23</v>
      </c>
      <c r="J2" s="26">
        <v>9</v>
      </c>
      <c r="K2" s="26">
        <v>14</v>
      </c>
      <c r="L2" s="26">
        <v>19</v>
      </c>
      <c r="N2" s="243" t="s">
        <v>204</v>
      </c>
      <c r="O2" s="263" t="s">
        <v>263</v>
      </c>
      <c r="P2" s="264"/>
      <c r="Q2" s="264"/>
      <c r="R2" s="264"/>
      <c r="S2" s="264"/>
      <c r="T2" s="264"/>
      <c r="U2" s="264"/>
      <c r="V2" s="264"/>
      <c r="W2" s="264"/>
      <c r="X2" s="265"/>
    </row>
    <row r="3" spans="1:24" ht="25.5" x14ac:dyDescent="0.35">
      <c r="A3" s="53">
        <v>3</v>
      </c>
      <c r="B3" s="156" t="s">
        <v>257</v>
      </c>
      <c r="C3" s="157">
        <f>MIN(C2:L2)</f>
        <v>9</v>
      </c>
      <c r="N3" s="244"/>
      <c r="O3" s="266"/>
      <c r="P3" s="267"/>
      <c r="Q3" s="267"/>
      <c r="R3" s="267"/>
      <c r="S3" s="267"/>
      <c r="T3" s="267"/>
      <c r="U3" s="267"/>
      <c r="V3" s="267"/>
      <c r="W3" s="267"/>
      <c r="X3" s="268"/>
    </row>
    <row r="4" spans="1:24" ht="25.5" x14ac:dyDescent="0.35">
      <c r="A4" s="53">
        <v>4</v>
      </c>
      <c r="B4" s="158" t="s">
        <v>258</v>
      </c>
      <c r="C4" s="64">
        <f>MAX(C2:L2)</f>
        <v>23</v>
      </c>
      <c r="H4" s="159" t="s">
        <v>259</v>
      </c>
      <c r="L4" s="159">
        <f>ABS(C4-C3)</f>
        <v>14</v>
      </c>
      <c r="N4" s="10">
        <v>1</v>
      </c>
      <c r="O4" s="19">
        <f ca="1">4*RAND()+2</f>
        <v>2.1167971409094055</v>
      </c>
      <c r="P4" s="19">
        <f ca="1">4*RAND()+2</f>
        <v>2.6421880356913938</v>
      </c>
      <c r="Q4" s="19">
        <f ca="1">4*RAND()+2</f>
        <v>4.0994764450417325</v>
      </c>
      <c r="R4" s="19">
        <f t="shared" ref="P4:X19" ca="1" si="0">4*RAND()+2</f>
        <v>5.7621755968484329</v>
      </c>
      <c r="S4" s="19">
        <f t="shared" ca="1" si="0"/>
        <v>3.4358992209690951</v>
      </c>
      <c r="T4" s="19">
        <f t="shared" ca="1" si="0"/>
        <v>3.960967210056817</v>
      </c>
      <c r="U4" s="19">
        <f t="shared" ca="1" si="0"/>
        <v>5.3242684383183381</v>
      </c>
      <c r="V4" s="19">
        <f t="shared" ca="1" si="0"/>
        <v>3.6798920084231925</v>
      </c>
      <c r="W4" s="19">
        <f t="shared" ca="1" si="0"/>
        <v>4.1149028556337441</v>
      </c>
      <c r="X4" s="19">
        <f t="shared" ca="1" si="0"/>
        <v>4.1835013808802248</v>
      </c>
    </row>
    <row r="5" spans="1:24" x14ac:dyDescent="0.3">
      <c r="N5" s="10">
        <v>2</v>
      </c>
      <c r="O5" s="19">
        <f t="shared" ref="O5:O28" ca="1" si="1">4*RAND()+2</f>
        <v>4.7920971463107396</v>
      </c>
      <c r="P5" s="19">
        <f t="shared" ca="1" si="0"/>
        <v>4.9546034751590051</v>
      </c>
      <c r="Q5" s="19">
        <f t="shared" ca="1" si="0"/>
        <v>4.6777357609462484</v>
      </c>
      <c r="R5" s="19">
        <f t="shared" ca="1" si="0"/>
        <v>2.6314786423985712</v>
      </c>
      <c r="S5" s="19">
        <f t="shared" ca="1" si="0"/>
        <v>4.1932580875655523</v>
      </c>
      <c r="T5" s="19">
        <f t="shared" ca="1" si="0"/>
        <v>3.3306658432717686</v>
      </c>
      <c r="U5" s="19">
        <f t="shared" ca="1" si="0"/>
        <v>2.0396451562759386</v>
      </c>
      <c r="V5" s="19">
        <f t="shared" ca="1" si="0"/>
        <v>2.8058795177813223</v>
      </c>
      <c r="W5" s="19">
        <f t="shared" ca="1" si="0"/>
        <v>3.4719378088655155</v>
      </c>
      <c r="X5" s="19">
        <f t="shared" ca="1" si="0"/>
        <v>4.2640816584898413</v>
      </c>
    </row>
    <row r="6" spans="1:24" x14ac:dyDescent="0.3">
      <c r="N6" s="10">
        <v>3</v>
      </c>
      <c r="O6" s="19">
        <f t="shared" ca="1" si="1"/>
        <v>4.5529447150096045</v>
      </c>
      <c r="P6" s="19">
        <f t="shared" ca="1" si="0"/>
        <v>5.8511767108101056</v>
      </c>
      <c r="Q6" s="19">
        <f t="shared" ca="1" si="0"/>
        <v>5.1469809493417555</v>
      </c>
      <c r="R6" s="19">
        <f t="shared" ca="1" si="0"/>
        <v>5.0393896709055195</v>
      </c>
      <c r="S6" s="19">
        <f t="shared" ca="1" si="0"/>
        <v>3.3387642089240268</v>
      </c>
      <c r="T6" s="19">
        <f t="shared" ca="1" si="0"/>
        <v>4.070670923009855</v>
      </c>
      <c r="U6" s="19">
        <f t="shared" ca="1" si="0"/>
        <v>2.7769656128593923</v>
      </c>
      <c r="V6" s="19">
        <f t="shared" ca="1" si="0"/>
        <v>5.25688693051268</v>
      </c>
      <c r="W6" s="19">
        <f t="shared" ca="1" si="0"/>
        <v>5.1404329124583397</v>
      </c>
      <c r="X6" s="19">
        <f t="shared" ca="1" si="0"/>
        <v>4.6349317461712021</v>
      </c>
    </row>
    <row r="7" spans="1:24" ht="31.5" x14ac:dyDescent="0.55000000000000004">
      <c r="A7" s="243" t="s">
        <v>204</v>
      </c>
      <c r="B7" s="245" t="s">
        <v>264</v>
      </c>
      <c r="C7" s="259"/>
      <c r="D7" s="259"/>
      <c r="E7" s="260"/>
      <c r="F7" s="260"/>
      <c r="G7" s="250"/>
      <c r="H7" s="250"/>
      <c r="N7" s="10">
        <v>4</v>
      </c>
      <c r="O7" s="19">
        <f t="shared" ca="1" si="1"/>
        <v>5.9167165876697272</v>
      </c>
      <c r="P7" s="19">
        <f t="shared" ca="1" si="0"/>
        <v>5.3710511141890702</v>
      </c>
      <c r="Q7" s="19">
        <f t="shared" ca="1" si="0"/>
        <v>4.5891225363823889</v>
      </c>
      <c r="R7" s="19">
        <f t="shared" ca="1" si="0"/>
        <v>4.9610718132773126</v>
      </c>
      <c r="S7" s="19">
        <f t="shared" ca="1" si="0"/>
        <v>2.8456821565135182</v>
      </c>
      <c r="T7" s="19">
        <f t="shared" ca="1" si="0"/>
        <v>5.3977768328667111</v>
      </c>
      <c r="U7" s="19">
        <f t="shared" ca="1" si="0"/>
        <v>4.8767098471695114</v>
      </c>
      <c r="V7" s="19">
        <f t="shared" ca="1" si="0"/>
        <v>5.7730939748545245</v>
      </c>
      <c r="W7" s="19">
        <f t="shared" ca="1" si="0"/>
        <v>4.8629214221797668</v>
      </c>
      <c r="X7" s="19">
        <f t="shared" ca="1" si="0"/>
        <v>2.7964310345944865</v>
      </c>
    </row>
    <row r="8" spans="1:24" ht="21" x14ac:dyDescent="0.35">
      <c r="A8" s="243"/>
      <c r="B8" s="150">
        <v>0</v>
      </c>
      <c r="C8" s="150">
        <v>1</v>
      </c>
      <c r="D8" s="150">
        <v>2</v>
      </c>
      <c r="E8" s="150">
        <v>3</v>
      </c>
      <c r="F8" s="150">
        <v>4</v>
      </c>
      <c r="G8" s="150">
        <v>5</v>
      </c>
      <c r="H8" s="150">
        <v>6</v>
      </c>
      <c r="N8" s="10">
        <v>5</v>
      </c>
      <c r="O8" s="19">
        <f t="shared" ca="1" si="1"/>
        <v>5.3612220802420634</v>
      </c>
      <c r="P8" s="19">
        <f t="shared" ca="1" si="0"/>
        <v>3.5295527336930075</v>
      </c>
      <c r="Q8" s="19">
        <f t="shared" ca="1" si="0"/>
        <v>5.1220956643257587</v>
      </c>
      <c r="R8" s="19">
        <f t="shared" ca="1" si="0"/>
        <v>4.5702328742081288</v>
      </c>
      <c r="S8" s="19">
        <f t="shared" ca="1" si="0"/>
        <v>5.130996123893258</v>
      </c>
      <c r="T8" s="19">
        <f t="shared" ca="1" si="0"/>
        <v>4.3488796018261668</v>
      </c>
      <c r="U8" s="19">
        <f t="shared" ca="1" si="0"/>
        <v>5.4215077607634035</v>
      </c>
      <c r="V8" s="19">
        <f t="shared" ca="1" si="0"/>
        <v>3.8490219561446435</v>
      </c>
      <c r="W8" s="19">
        <f t="shared" ca="1" si="0"/>
        <v>5.4706348756354428</v>
      </c>
      <c r="X8" s="19">
        <f t="shared" ca="1" si="0"/>
        <v>2.1212164337066124</v>
      </c>
    </row>
    <row r="9" spans="1:24" ht="31.5" x14ac:dyDescent="0.55000000000000004">
      <c r="A9" s="258"/>
      <c r="B9" s="245" t="s">
        <v>265</v>
      </c>
      <c r="C9" s="259"/>
      <c r="D9" s="259"/>
      <c r="E9" s="259"/>
      <c r="F9" s="259"/>
      <c r="G9" s="250"/>
      <c r="H9" s="250"/>
      <c r="N9" s="10">
        <v>6</v>
      </c>
      <c r="O9" s="19">
        <f t="shared" ca="1" si="1"/>
        <v>5.4371219711058618</v>
      </c>
      <c r="P9" s="19">
        <f t="shared" ca="1" si="0"/>
        <v>4.9165757055591701</v>
      </c>
      <c r="Q9" s="19">
        <f t="shared" ca="1" si="0"/>
        <v>4.2115125307441206</v>
      </c>
      <c r="R9" s="19">
        <f t="shared" ca="1" si="0"/>
        <v>2.267903187658439</v>
      </c>
      <c r="S9" s="19">
        <f t="shared" ca="1" si="0"/>
        <v>4.9545805466838235</v>
      </c>
      <c r="T9" s="19">
        <f t="shared" ca="1" si="0"/>
        <v>5.5190192633417485</v>
      </c>
      <c r="U9" s="19">
        <f t="shared" ca="1" si="0"/>
        <v>3.6198723201919902</v>
      </c>
      <c r="V9" s="19">
        <f t="shared" ca="1" si="0"/>
        <v>3.077821063219742</v>
      </c>
      <c r="W9" s="19">
        <f t="shared" ca="1" si="0"/>
        <v>2.1802966206682801</v>
      </c>
      <c r="X9" s="19">
        <f t="shared" ca="1" si="0"/>
        <v>3.3433182112476092</v>
      </c>
    </row>
    <row r="10" spans="1:24" x14ac:dyDescent="0.3">
      <c r="A10" s="36">
        <v>1</v>
      </c>
      <c r="B10" s="155">
        <f t="shared" ref="B10:B27" ca="1" si="2">16*RAND()+2</f>
        <v>10.080127188549534</v>
      </c>
      <c r="C10" s="155">
        <f t="shared" ref="C10:H26" ca="1" si="3">16*RAND()+2</f>
        <v>4.7889907327202792</v>
      </c>
      <c r="D10" s="155">
        <f t="shared" ca="1" si="3"/>
        <v>15.590917604934024</v>
      </c>
      <c r="E10" s="155">
        <f t="shared" ca="1" si="3"/>
        <v>6.1156833255871437</v>
      </c>
      <c r="F10" s="155">
        <f t="shared" ca="1" si="3"/>
        <v>9.062758698806423</v>
      </c>
      <c r="G10" s="155">
        <f t="shared" ca="1" si="3"/>
        <v>16.111740379284143</v>
      </c>
      <c r="H10" s="155">
        <f t="shared" ca="1" si="3"/>
        <v>2.9010868768654188</v>
      </c>
      <c r="N10" s="10">
        <v>7</v>
      </c>
      <c r="O10" s="19">
        <f t="shared" ca="1" si="1"/>
        <v>3.5314714392761535</v>
      </c>
      <c r="P10" s="19">
        <f t="shared" ca="1" si="0"/>
        <v>4.1592314912818242</v>
      </c>
      <c r="Q10" s="19">
        <f t="shared" ca="1" si="0"/>
        <v>2.0684309686100364</v>
      </c>
      <c r="R10" s="19">
        <f t="shared" ca="1" si="0"/>
        <v>2.1127503856637029</v>
      </c>
      <c r="S10" s="19">
        <f t="shared" ca="1" si="0"/>
        <v>4.700959130350741</v>
      </c>
      <c r="T10" s="19">
        <f t="shared" ca="1" si="0"/>
        <v>3.1054422708935525</v>
      </c>
      <c r="U10" s="19">
        <f t="shared" ca="1" si="0"/>
        <v>3.3944653335510813</v>
      </c>
      <c r="V10" s="19">
        <f t="shared" ca="1" si="0"/>
        <v>5.2782654429400022</v>
      </c>
      <c r="W10" s="19">
        <f t="shared" ca="1" si="0"/>
        <v>5.8563061235776441</v>
      </c>
      <c r="X10" s="19">
        <f t="shared" ca="1" si="0"/>
        <v>3.0059511245300934</v>
      </c>
    </row>
    <row r="11" spans="1:24" x14ac:dyDescent="0.3">
      <c r="A11" s="36">
        <v>2</v>
      </c>
      <c r="B11" s="155">
        <f t="shared" ca="1" si="2"/>
        <v>2.4775198382459447</v>
      </c>
      <c r="C11" s="155">
        <f t="shared" ca="1" si="3"/>
        <v>11.481619231815179</v>
      </c>
      <c r="D11" s="155">
        <f t="shared" ca="1" si="3"/>
        <v>17.571309440723919</v>
      </c>
      <c r="E11" s="155">
        <f t="shared" ca="1" si="3"/>
        <v>3.314605810665757</v>
      </c>
      <c r="F11" s="155">
        <f t="shared" ca="1" si="3"/>
        <v>15.11067069923546</v>
      </c>
      <c r="G11" s="155">
        <f t="shared" ca="1" si="3"/>
        <v>14.746369879054402</v>
      </c>
      <c r="H11" s="155">
        <f t="shared" ca="1" si="3"/>
        <v>13.828347488125301</v>
      </c>
      <c r="N11" s="10">
        <v>8</v>
      </c>
      <c r="O11" s="19">
        <f t="shared" ca="1" si="1"/>
        <v>3.5754272059193308</v>
      </c>
      <c r="P11" s="19">
        <f t="shared" ca="1" si="0"/>
        <v>2.7045116116057777</v>
      </c>
      <c r="Q11" s="19">
        <f t="shared" ca="1" si="0"/>
        <v>4.8781324203392371</v>
      </c>
      <c r="R11" s="19">
        <f t="shared" ca="1" si="0"/>
        <v>3.4894270161233827</v>
      </c>
      <c r="S11" s="19">
        <f t="shared" ca="1" si="0"/>
        <v>3.2211687081126961</v>
      </c>
      <c r="T11" s="19">
        <f t="shared" ca="1" si="0"/>
        <v>4.8482734156698246</v>
      </c>
      <c r="U11" s="19">
        <f t="shared" ca="1" si="0"/>
        <v>5.795769775662162</v>
      </c>
      <c r="V11" s="19">
        <f t="shared" ca="1" si="0"/>
        <v>5.2766186085442559</v>
      </c>
      <c r="W11" s="19">
        <f t="shared" ca="1" si="0"/>
        <v>2.196623406066069</v>
      </c>
      <c r="X11" s="19">
        <f t="shared" ca="1" si="0"/>
        <v>5.6136559797662748</v>
      </c>
    </row>
    <row r="12" spans="1:24" x14ac:dyDescent="0.3">
      <c r="A12" s="36">
        <v>3</v>
      </c>
      <c r="B12" s="155">
        <f t="shared" ca="1" si="2"/>
        <v>6.6453767027073152</v>
      </c>
      <c r="C12" s="155">
        <f t="shared" ca="1" si="3"/>
        <v>6.1240072589026031</v>
      </c>
      <c r="D12" s="155">
        <f t="shared" ca="1" si="3"/>
        <v>3.0785361163979807</v>
      </c>
      <c r="E12" s="155">
        <f t="shared" ca="1" si="3"/>
        <v>12.366812450939982</v>
      </c>
      <c r="F12" s="155">
        <f t="shared" ca="1" si="3"/>
        <v>2.8851202880413265</v>
      </c>
      <c r="G12" s="155">
        <f t="shared" ca="1" si="3"/>
        <v>2.446066459719404</v>
      </c>
      <c r="H12" s="155">
        <f t="shared" ca="1" si="3"/>
        <v>12.650200718078633</v>
      </c>
      <c r="N12" s="10">
        <v>9</v>
      </c>
      <c r="O12" s="19">
        <f t="shared" ca="1" si="1"/>
        <v>3.2781587660071825</v>
      </c>
      <c r="P12" s="19">
        <f t="shared" ca="1" si="0"/>
        <v>4.4555940249104866</v>
      </c>
      <c r="Q12" s="19">
        <f t="shared" ca="1" si="0"/>
        <v>5.342354485771974</v>
      </c>
      <c r="R12" s="19">
        <f t="shared" ca="1" si="0"/>
        <v>2.325699804671435</v>
      </c>
      <c r="S12" s="19">
        <f t="shared" ca="1" si="0"/>
        <v>3.700677907603878</v>
      </c>
      <c r="T12" s="19">
        <f t="shared" ca="1" si="0"/>
        <v>3.1430767418537169</v>
      </c>
      <c r="U12" s="19">
        <f t="shared" ca="1" si="0"/>
        <v>5.1877168936239002</v>
      </c>
      <c r="V12" s="19">
        <f t="shared" ca="1" si="0"/>
        <v>4.235830293203148</v>
      </c>
      <c r="W12" s="19">
        <f t="shared" ca="1" si="0"/>
        <v>3.631140280481953</v>
      </c>
      <c r="X12" s="19">
        <f t="shared" ca="1" si="0"/>
        <v>4.8073158777569445</v>
      </c>
    </row>
    <row r="13" spans="1:24" x14ac:dyDescent="0.3">
      <c r="A13" s="36">
        <v>4</v>
      </c>
      <c r="B13" s="155">
        <f t="shared" ca="1" si="2"/>
        <v>2.0047251161569388</v>
      </c>
      <c r="C13" s="155">
        <f t="shared" ca="1" si="3"/>
        <v>17.993441304397365</v>
      </c>
      <c r="D13" s="155">
        <f t="shared" ca="1" si="3"/>
        <v>16.070478342022398</v>
      </c>
      <c r="E13" s="155">
        <f t="shared" ca="1" si="3"/>
        <v>10.814891164185729</v>
      </c>
      <c r="F13" s="155">
        <f t="shared" ca="1" si="3"/>
        <v>3.0407750119407986</v>
      </c>
      <c r="G13" s="155">
        <f t="shared" ca="1" si="3"/>
        <v>17.656526711724496</v>
      </c>
      <c r="H13" s="155">
        <f t="shared" ca="1" si="3"/>
        <v>3.5910549729200323</v>
      </c>
      <c r="N13" s="10">
        <v>10</v>
      </c>
      <c r="O13" s="19">
        <f t="shared" ca="1" si="1"/>
        <v>4.4809744406329086</v>
      </c>
      <c r="P13" s="19">
        <f t="shared" ca="1" si="0"/>
        <v>4.5897289826164416</v>
      </c>
      <c r="Q13" s="19">
        <f t="shared" ca="1" si="0"/>
        <v>2.3071774702173982</v>
      </c>
      <c r="R13" s="19">
        <f t="shared" ca="1" si="0"/>
        <v>5.3090995862216275</v>
      </c>
      <c r="S13" s="19">
        <f t="shared" ca="1" si="0"/>
        <v>4.5451959452433588</v>
      </c>
      <c r="T13" s="19">
        <f t="shared" ca="1" si="0"/>
        <v>5.6696556366429691</v>
      </c>
      <c r="U13" s="19">
        <f t="shared" ca="1" si="0"/>
        <v>3.2393069263657299</v>
      </c>
      <c r="V13" s="19">
        <f t="shared" ca="1" si="0"/>
        <v>3.4769919852130191</v>
      </c>
      <c r="W13" s="19">
        <f t="shared" ca="1" si="0"/>
        <v>3.3750847278779901</v>
      </c>
      <c r="X13" s="19">
        <f t="shared" ca="1" si="0"/>
        <v>2.7517968421885799</v>
      </c>
    </row>
    <row r="14" spans="1:24" x14ac:dyDescent="0.3">
      <c r="A14" s="36">
        <v>5</v>
      </c>
      <c r="B14" s="155">
        <f t="shared" ca="1" si="2"/>
        <v>5.456815242689844</v>
      </c>
      <c r="C14" s="155">
        <f t="shared" ca="1" si="3"/>
        <v>8.4564010754695005</v>
      </c>
      <c r="D14" s="155">
        <f t="shared" ca="1" si="3"/>
        <v>13.334207950023798</v>
      </c>
      <c r="E14" s="155">
        <f t="shared" ca="1" si="3"/>
        <v>12.528357068750326</v>
      </c>
      <c r="F14" s="155">
        <f t="shared" ca="1" si="3"/>
        <v>15.112937563030998</v>
      </c>
      <c r="G14" s="155">
        <f t="shared" ca="1" si="3"/>
        <v>16.402839047952149</v>
      </c>
      <c r="H14" s="155">
        <f t="shared" ca="1" si="3"/>
        <v>2.0127953162257217</v>
      </c>
      <c r="N14" s="10">
        <v>11</v>
      </c>
      <c r="O14" s="19">
        <f t="shared" ca="1" si="1"/>
        <v>5.8129854625478723</v>
      </c>
      <c r="P14" s="19">
        <f t="shared" ca="1" si="0"/>
        <v>2.3285871960658509</v>
      </c>
      <c r="Q14" s="19">
        <f t="shared" ca="1" si="0"/>
        <v>4.8858005844505783</v>
      </c>
      <c r="R14" s="19">
        <f t="shared" ca="1" si="0"/>
        <v>4.0163944643338354</v>
      </c>
      <c r="S14" s="19">
        <f t="shared" ca="1" si="0"/>
        <v>3.3255129004082344</v>
      </c>
      <c r="T14" s="19">
        <f t="shared" ca="1" si="0"/>
        <v>3.3317234411204075</v>
      </c>
      <c r="U14" s="19">
        <f t="shared" ca="1" si="0"/>
        <v>4.1766657483836997</v>
      </c>
      <c r="V14" s="19">
        <f t="shared" ca="1" si="0"/>
        <v>4.6611730777731371</v>
      </c>
      <c r="W14" s="19">
        <f t="shared" ca="1" si="0"/>
        <v>3.1266335691124696</v>
      </c>
      <c r="X14" s="19">
        <f t="shared" ca="1" si="0"/>
        <v>2.2167251102858927</v>
      </c>
    </row>
    <row r="15" spans="1:24" x14ac:dyDescent="0.3">
      <c r="A15" s="36">
        <v>6</v>
      </c>
      <c r="B15" s="155">
        <f t="shared" ca="1" si="2"/>
        <v>12.363221388211851</v>
      </c>
      <c r="C15" s="155">
        <f t="shared" ca="1" si="3"/>
        <v>15.472923785424662</v>
      </c>
      <c r="D15" s="155">
        <f t="shared" ca="1" si="3"/>
        <v>13.096492370441746</v>
      </c>
      <c r="E15" s="155">
        <f t="shared" ca="1" si="3"/>
        <v>3.2347895992093676</v>
      </c>
      <c r="F15" s="155">
        <f t="shared" ca="1" si="3"/>
        <v>16.796043879612196</v>
      </c>
      <c r="G15" s="155">
        <f t="shared" ca="1" si="3"/>
        <v>4.5626745383425416</v>
      </c>
      <c r="H15" s="155">
        <f t="shared" ca="1" si="3"/>
        <v>10.790270194450116</v>
      </c>
      <c r="N15" s="10">
        <v>12</v>
      </c>
      <c r="O15" s="19">
        <f t="shared" ca="1" si="1"/>
        <v>2.1997900264228583</v>
      </c>
      <c r="P15" s="19">
        <f t="shared" ca="1" si="0"/>
        <v>3.025709326235603</v>
      </c>
      <c r="Q15" s="19">
        <f t="shared" ca="1" si="0"/>
        <v>4.2593956949372487</v>
      </c>
      <c r="R15" s="19">
        <f t="shared" ca="1" si="0"/>
        <v>5.4416028137710999</v>
      </c>
      <c r="S15" s="19">
        <f t="shared" ca="1" si="0"/>
        <v>4.3524164725760661</v>
      </c>
      <c r="T15" s="19">
        <f t="shared" ca="1" si="0"/>
        <v>4.9651598309711868</v>
      </c>
      <c r="U15" s="19">
        <f t="shared" ca="1" si="0"/>
        <v>4.6988233143528344</v>
      </c>
      <c r="V15" s="19">
        <f t="shared" ca="1" si="0"/>
        <v>5.0749523158161596</v>
      </c>
      <c r="W15" s="19">
        <f t="shared" ca="1" si="0"/>
        <v>4.6570240037155504</v>
      </c>
      <c r="X15" s="19">
        <f t="shared" ca="1" si="0"/>
        <v>2.1145433690994424</v>
      </c>
    </row>
    <row r="16" spans="1:24" x14ac:dyDescent="0.3">
      <c r="A16" s="36">
        <v>7</v>
      </c>
      <c r="B16" s="155">
        <f t="shared" ca="1" si="2"/>
        <v>6.388654782855971</v>
      </c>
      <c r="C16" s="155">
        <f t="shared" ca="1" si="3"/>
        <v>6.4433208272574625</v>
      </c>
      <c r="D16" s="155">
        <f t="shared" ca="1" si="3"/>
        <v>9.4743334737614813</v>
      </c>
      <c r="E16" s="155">
        <f t="shared" ca="1" si="3"/>
        <v>10.696971368858858</v>
      </c>
      <c r="F16" s="155">
        <f t="shared" ca="1" si="3"/>
        <v>16.903177906656055</v>
      </c>
      <c r="G16" s="155">
        <f t="shared" ca="1" si="3"/>
        <v>3.372429005613979</v>
      </c>
      <c r="H16" s="155">
        <f t="shared" ca="1" si="3"/>
        <v>2.7544245758831476</v>
      </c>
      <c r="N16" s="10">
        <v>13</v>
      </c>
      <c r="O16" s="19">
        <f t="shared" ca="1" si="1"/>
        <v>3.1779055049891642</v>
      </c>
      <c r="P16" s="19">
        <f t="shared" ca="1" si="0"/>
        <v>3.5879180187921773</v>
      </c>
      <c r="Q16" s="19">
        <f t="shared" ca="1" si="0"/>
        <v>5.8031431508432387</v>
      </c>
      <c r="R16" s="19">
        <f t="shared" ca="1" si="0"/>
        <v>2.2150197178372806</v>
      </c>
      <c r="S16" s="19">
        <f t="shared" ca="1" si="0"/>
        <v>4.1068358547417292</v>
      </c>
      <c r="T16" s="19">
        <f t="shared" ca="1" si="0"/>
        <v>5.2852416015347368</v>
      </c>
      <c r="U16" s="19">
        <f t="shared" ca="1" si="0"/>
        <v>5.14852865138608</v>
      </c>
      <c r="V16" s="19">
        <f t="shared" ca="1" si="0"/>
        <v>2.5965225323181227</v>
      </c>
      <c r="W16" s="19">
        <f t="shared" ca="1" si="0"/>
        <v>2.51956430087546</v>
      </c>
      <c r="X16" s="19">
        <f t="shared" ca="1" si="0"/>
        <v>2.8877787362849414</v>
      </c>
    </row>
    <row r="17" spans="1:24" x14ac:dyDescent="0.3">
      <c r="A17" s="36">
        <v>8</v>
      </c>
      <c r="B17" s="155">
        <f t="shared" ca="1" si="2"/>
        <v>10.038591853837383</v>
      </c>
      <c r="C17" s="155">
        <f t="shared" ca="1" si="3"/>
        <v>11.49172813731372</v>
      </c>
      <c r="D17" s="155">
        <f t="shared" ca="1" si="3"/>
        <v>6.6519324664124859</v>
      </c>
      <c r="E17" s="155">
        <f t="shared" ca="1" si="3"/>
        <v>12.345460536187685</v>
      </c>
      <c r="F17" s="155">
        <f t="shared" ca="1" si="3"/>
        <v>9.2632197942309791</v>
      </c>
      <c r="G17" s="155">
        <f t="shared" ca="1" si="3"/>
        <v>2.0662895774471846</v>
      </c>
      <c r="H17" s="155">
        <f t="shared" ca="1" si="3"/>
        <v>8.6666357994733687</v>
      </c>
      <c r="N17" s="10">
        <v>14</v>
      </c>
      <c r="O17" s="19">
        <f t="shared" ca="1" si="1"/>
        <v>4.3527915824336674</v>
      </c>
      <c r="P17" s="19">
        <f t="shared" ca="1" si="0"/>
        <v>5.4971610024081734</v>
      </c>
      <c r="Q17" s="19">
        <f t="shared" ca="1" si="0"/>
        <v>4.2690096071884174</v>
      </c>
      <c r="R17" s="19">
        <f t="shared" ca="1" si="0"/>
        <v>5.9121655438850738</v>
      </c>
      <c r="S17" s="19">
        <f t="shared" ca="1" si="0"/>
        <v>5.4290046489683679</v>
      </c>
      <c r="T17" s="19">
        <f t="shared" ca="1" si="0"/>
        <v>3.2628244392877939</v>
      </c>
      <c r="U17" s="19">
        <f t="shared" ca="1" si="0"/>
        <v>4.4456431193309083</v>
      </c>
      <c r="V17" s="19">
        <f t="shared" ca="1" si="0"/>
        <v>3.7773259627902873</v>
      </c>
      <c r="W17" s="19">
        <f t="shared" ca="1" si="0"/>
        <v>2.9423057631414546</v>
      </c>
      <c r="X17" s="19">
        <f t="shared" ca="1" si="0"/>
        <v>5.0761675435312377</v>
      </c>
    </row>
    <row r="18" spans="1:24" x14ac:dyDescent="0.3">
      <c r="A18" s="36">
        <v>9</v>
      </c>
      <c r="B18" s="155">
        <f t="shared" ca="1" si="2"/>
        <v>16.591033455876428</v>
      </c>
      <c r="C18" s="155">
        <f t="shared" ca="1" si="3"/>
        <v>16.171929302409524</v>
      </c>
      <c r="D18" s="155">
        <f t="shared" ca="1" si="3"/>
        <v>16.809213596182566</v>
      </c>
      <c r="E18" s="155">
        <f t="shared" ca="1" si="3"/>
        <v>8.2649733648373047</v>
      </c>
      <c r="F18" s="155">
        <f t="shared" ca="1" si="3"/>
        <v>10.146486656157043</v>
      </c>
      <c r="G18" s="155">
        <f t="shared" ca="1" si="3"/>
        <v>8.8282168156278917</v>
      </c>
      <c r="H18" s="155">
        <f t="shared" ca="1" si="3"/>
        <v>3.9490193859760456</v>
      </c>
      <c r="N18" s="10">
        <v>15</v>
      </c>
      <c r="O18" s="19">
        <f t="shared" ca="1" si="1"/>
        <v>3.6874907977343727</v>
      </c>
      <c r="P18" s="19">
        <f t="shared" ca="1" si="0"/>
        <v>4.2625904204487153</v>
      </c>
      <c r="Q18" s="19">
        <f t="shared" ca="1" si="0"/>
        <v>2.1905263018698085</v>
      </c>
      <c r="R18" s="19">
        <f t="shared" ca="1" si="0"/>
        <v>4.7978576068293375</v>
      </c>
      <c r="S18" s="19">
        <f t="shared" ca="1" si="0"/>
        <v>4.9127727419470002</v>
      </c>
      <c r="T18" s="19">
        <f t="shared" ca="1" si="0"/>
        <v>2.9158263502629529</v>
      </c>
      <c r="U18" s="19">
        <f t="shared" ca="1" si="0"/>
        <v>4.7472085668650585</v>
      </c>
      <c r="V18" s="19">
        <f t="shared" ca="1" si="0"/>
        <v>2.9796237270204879</v>
      </c>
      <c r="W18" s="19">
        <f t="shared" ca="1" si="0"/>
        <v>4.2984496989329939</v>
      </c>
      <c r="X18" s="19">
        <f t="shared" ca="1" si="0"/>
        <v>3.2501999231010781</v>
      </c>
    </row>
    <row r="19" spans="1:24" x14ac:dyDescent="0.3">
      <c r="A19" s="36">
        <v>10</v>
      </c>
      <c r="B19" s="155">
        <f t="shared" ca="1" si="2"/>
        <v>5.8545412423197689</v>
      </c>
      <c r="C19" s="155">
        <f t="shared" ca="1" si="3"/>
        <v>3.1829994805165462</v>
      </c>
      <c r="D19" s="155">
        <f t="shared" ca="1" si="3"/>
        <v>10.148792820347682</v>
      </c>
      <c r="E19" s="155">
        <f t="shared" ca="1" si="3"/>
        <v>8.8576294711282131</v>
      </c>
      <c r="F19" s="155">
        <f t="shared" ca="1" si="3"/>
        <v>17.805984219631728</v>
      </c>
      <c r="G19" s="155">
        <f t="shared" ca="1" si="3"/>
        <v>10.354492788151427</v>
      </c>
      <c r="H19" s="155">
        <f t="shared" ca="1" si="3"/>
        <v>8.0239026454419804</v>
      </c>
      <c r="N19" s="10">
        <v>16</v>
      </c>
      <c r="O19" s="19">
        <f t="shared" ca="1" si="1"/>
        <v>5.2572255092688973</v>
      </c>
      <c r="P19" s="19">
        <f t="shared" ca="1" si="0"/>
        <v>2.6675987322904158</v>
      </c>
      <c r="Q19" s="19">
        <f t="shared" ca="1" si="0"/>
        <v>2.3170588125414349</v>
      </c>
      <c r="R19" s="19">
        <f t="shared" ca="1" si="0"/>
        <v>2.9137078715934592</v>
      </c>
      <c r="S19" s="19">
        <f t="shared" ca="1" si="0"/>
        <v>3.4634232091838433</v>
      </c>
      <c r="T19" s="19">
        <f t="shared" ca="1" si="0"/>
        <v>3.1164151600648875</v>
      </c>
      <c r="U19" s="19">
        <f t="shared" ca="1" si="0"/>
        <v>3.8921411327365201</v>
      </c>
      <c r="V19" s="19">
        <f t="shared" ca="1" si="0"/>
        <v>3.7761166109129447</v>
      </c>
      <c r="W19" s="19">
        <f t="shared" ca="1" si="0"/>
        <v>4.6156993971478268</v>
      </c>
      <c r="X19" s="19">
        <f t="shared" ca="1" si="0"/>
        <v>2.2185813538967563</v>
      </c>
    </row>
    <row r="20" spans="1:24" x14ac:dyDescent="0.3">
      <c r="A20" s="36">
        <v>11</v>
      </c>
      <c r="B20" s="155">
        <f t="shared" ca="1" si="2"/>
        <v>6.2162578335675693</v>
      </c>
      <c r="C20" s="155">
        <f t="shared" ca="1" si="3"/>
        <v>5.8376229773132184</v>
      </c>
      <c r="D20" s="155">
        <f t="shared" ca="1" si="3"/>
        <v>2.9557186509381275</v>
      </c>
      <c r="E20" s="155">
        <f t="shared" ca="1" si="3"/>
        <v>17.384237725859659</v>
      </c>
      <c r="F20" s="155">
        <f t="shared" ca="1" si="3"/>
        <v>17.058038033024168</v>
      </c>
      <c r="G20" s="155">
        <f t="shared" ca="1" si="3"/>
        <v>13.129227843423079</v>
      </c>
      <c r="H20" s="155">
        <f t="shared" ca="1" si="3"/>
        <v>13.332822664923812</v>
      </c>
      <c r="N20" s="10">
        <v>17</v>
      </c>
      <c r="O20" s="19">
        <f t="shared" ca="1" si="1"/>
        <v>2.8873737647484554</v>
      </c>
      <c r="P20" s="19">
        <f t="shared" ref="P20:X28" ca="1" si="4">4*RAND()+2</f>
        <v>4.8218886718981544</v>
      </c>
      <c r="Q20" s="19">
        <f t="shared" ca="1" si="4"/>
        <v>5.6893403770477136</v>
      </c>
      <c r="R20" s="19">
        <f t="shared" ca="1" si="4"/>
        <v>2.9230031576745672</v>
      </c>
      <c r="S20" s="19">
        <f t="shared" ca="1" si="4"/>
        <v>5.1041971161873754</v>
      </c>
      <c r="T20" s="19">
        <f t="shared" ca="1" si="4"/>
        <v>2.5721438775013299</v>
      </c>
      <c r="U20" s="19">
        <f t="shared" ca="1" si="4"/>
        <v>2.5826493208773806</v>
      </c>
      <c r="V20" s="19">
        <f t="shared" ca="1" si="4"/>
        <v>3.7277874836203484</v>
      </c>
      <c r="W20" s="19">
        <f t="shared" ca="1" si="4"/>
        <v>5.0948670398614126</v>
      </c>
      <c r="X20" s="19">
        <f t="shared" ca="1" si="4"/>
        <v>2.0024909874722248</v>
      </c>
    </row>
    <row r="21" spans="1:24" x14ac:dyDescent="0.3">
      <c r="A21" s="36">
        <v>12</v>
      </c>
      <c r="B21" s="155">
        <f t="shared" ca="1" si="2"/>
        <v>5.8368881975906284</v>
      </c>
      <c r="C21" s="155">
        <f t="shared" ca="1" si="3"/>
        <v>16.89888106127033</v>
      </c>
      <c r="D21" s="155">
        <f t="shared" ca="1" si="3"/>
        <v>7.8581685195558642</v>
      </c>
      <c r="E21" s="155">
        <f t="shared" ca="1" si="3"/>
        <v>14.933667680534976</v>
      </c>
      <c r="F21" s="155">
        <f t="shared" ca="1" si="3"/>
        <v>10.930687517289767</v>
      </c>
      <c r="G21" s="155">
        <f t="shared" ca="1" si="3"/>
        <v>6.6751160510511021</v>
      </c>
      <c r="H21" s="155">
        <f t="shared" ca="1" si="3"/>
        <v>8.0155296505174842</v>
      </c>
      <c r="N21" s="10">
        <v>18</v>
      </c>
      <c r="O21" s="19">
        <f t="shared" ca="1" si="1"/>
        <v>4.5235290822662018</v>
      </c>
      <c r="P21" s="19">
        <f t="shared" ca="1" si="4"/>
        <v>5.9168146896686213</v>
      </c>
      <c r="Q21" s="19">
        <f t="shared" ca="1" si="4"/>
        <v>2.1571104012545943</v>
      </c>
      <c r="R21" s="19">
        <f t="shared" ca="1" si="4"/>
        <v>3.1718319049755266</v>
      </c>
      <c r="S21" s="19">
        <f t="shared" ca="1" si="4"/>
        <v>3.0809027573565513</v>
      </c>
      <c r="T21" s="19">
        <f t="shared" ca="1" si="4"/>
        <v>3.7418987770462877</v>
      </c>
      <c r="U21" s="19">
        <f t="shared" ca="1" si="4"/>
        <v>3.3167918430072802</v>
      </c>
      <c r="V21" s="19">
        <f t="shared" ca="1" si="4"/>
        <v>4.7589054252387255</v>
      </c>
      <c r="W21" s="19">
        <f t="shared" ca="1" si="4"/>
        <v>2.6796126557526256</v>
      </c>
      <c r="X21" s="19">
        <f t="shared" ca="1" si="4"/>
        <v>3.4771693742489229</v>
      </c>
    </row>
    <row r="22" spans="1:24" x14ac:dyDescent="0.3">
      <c r="A22" s="36">
        <v>13</v>
      </c>
      <c r="B22" s="155">
        <f t="shared" ca="1" si="2"/>
        <v>14.046768763874573</v>
      </c>
      <c r="C22" s="155">
        <f t="shared" ca="1" si="3"/>
        <v>10.2345961646355</v>
      </c>
      <c r="D22" s="155">
        <f t="shared" ca="1" si="3"/>
        <v>2.9304787336786333</v>
      </c>
      <c r="E22" s="155">
        <f t="shared" ca="1" si="3"/>
        <v>9.369830073080216</v>
      </c>
      <c r="F22" s="155">
        <f t="shared" ca="1" si="3"/>
        <v>12.090639375977979</v>
      </c>
      <c r="G22" s="155">
        <f t="shared" ca="1" si="3"/>
        <v>7.247683804700749</v>
      </c>
      <c r="H22" s="155">
        <f t="shared" ca="1" si="3"/>
        <v>14.152913628201102</v>
      </c>
      <c r="N22" s="10">
        <v>19</v>
      </c>
      <c r="O22" s="19">
        <f t="shared" ca="1" si="1"/>
        <v>4.9420375214862222</v>
      </c>
      <c r="P22" s="19">
        <f t="shared" ca="1" si="4"/>
        <v>3.8377636144845875</v>
      </c>
      <c r="Q22" s="19">
        <f t="shared" ca="1" si="4"/>
        <v>3.3254136022614738</v>
      </c>
      <c r="R22" s="19">
        <f t="shared" ca="1" si="4"/>
        <v>2.5470399296398432</v>
      </c>
      <c r="S22" s="19">
        <f t="shared" ca="1" si="4"/>
        <v>4.7084757959278516</v>
      </c>
      <c r="T22" s="19">
        <f t="shared" ca="1" si="4"/>
        <v>3.0591196100500215</v>
      </c>
      <c r="U22" s="19">
        <f t="shared" ca="1" si="4"/>
        <v>2.1809817881459845</v>
      </c>
      <c r="V22" s="19">
        <f t="shared" ca="1" si="4"/>
        <v>4.2104860910815773</v>
      </c>
      <c r="W22" s="19">
        <f t="shared" ca="1" si="4"/>
        <v>4.9163577903087416</v>
      </c>
      <c r="X22" s="19">
        <f t="shared" ca="1" si="4"/>
        <v>5.6516285542886244</v>
      </c>
    </row>
    <row r="23" spans="1:24" x14ac:dyDescent="0.3">
      <c r="A23" s="36">
        <v>14</v>
      </c>
      <c r="B23" s="155">
        <f t="shared" ca="1" si="2"/>
        <v>13.328093096612927</v>
      </c>
      <c r="C23" s="155">
        <f t="shared" ca="1" si="3"/>
        <v>11.904811124361952</v>
      </c>
      <c r="D23" s="155">
        <f t="shared" ca="1" si="3"/>
        <v>17.611269742815733</v>
      </c>
      <c r="E23" s="155">
        <f t="shared" ca="1" si="3"/>
        <v>6.0940571004880546</v>
      </c>
      <c r="F23" s="155">
        <f t="shared" ca="1" si="3"/>
        <v>15.968857120548202</v>
      </c>
      <c r="G23" s="155">
        <f t="shared" ca="1" si="3"/>
        <v>15.211927983704289</v>
      </c>
      <c r="H23" s="155">
        <f t="shared" ca="1" si="3"/>
        <v>6.8246621242128835</v>
      </c>
      <c r="N23" s="10">
        <v>20</v>
      </c>
      <c r="O23" s="19">
        <f t="shared" ca="1" si="1"/>
        <v>2.3305443206718675</v>
      </c>
      <c r="P23" s="19">
        <f t="shared" ca="1" si="4"/>
        <v>5.3922993026358625</v>
      </c>
      <c r="Q23" s="19">
        <f t="shared" ca="1" si="4"/>
        <v>3.2372090200753916</v>
      </c>
      <c r="R23" s="19">
        <f t="shared" ca="1" si="4"/>
        <v>4.593549131000934</v>
      </c>
      <c r="S23" s="19">
        <f t="shared" ca="1" si="4"/>
        <v>3.4453682163861101</v>
      </c>
      <c r="T23" s="19">
        <f t="shared" ca="1" si="4"/>
        <v>2.33165785326032</v>
      </c>
      <c r="U23" s="19">
        <f t="shared" ca="1" si="4"/>
        <v>2.3971010465682316</v>
      </c>
      <c r="V23" s="19">
        <f t="shared" ca="1" si="4"/>
        <v>4.6051898576939347</v>
      </c>
      <c r="W23" s="19">
        <f t="shared" ca="1" si="4"/>
        <v>4.4694492171143452</v>
      </c>
      <c r="X23" s="19">
        <f t="shared" ca="1" si="4"/>
        <v>2.4449800351081237</v>
      </c>
    </row>
    <row r="24" spans="1:24" x14ac:dyDescent="0.3">
      <c r="A24" s="36">
        <v>15</v>
      </c>
      <c r="B24" s="155">
        <f t="shared" ca="1" si="2"/>
        <v>12.679108546658869</v>
      </c>
      <c r="C24" s="155">
        <f t="shared" ca="1" si="3"/>
        <v>15.5676716888357</v>
      </c>
      <c r="D24" s="155">
        <f t="shared" ca="1" si="3"/>
        <v>17.695342568489348</v>
      </c>
      <c r="E24" s="155">
        <f t="shared" ca="1" si="3"/>
        <v>9.394837825924613</v>
      </c>
      <c r="F24" s="155">
        <f t="shared" ca="1" si="3"/>
        <v>11.046036875987507</v>
      </c>
      <c r="G24" s="155">
        <f t="shared" ca="1" si="3"/>
        <v>11.603833994396238</v>
      </c>
      <c r="H24" s="155">
        <f t="shared" ca="1" si="3"/>
        <v>6.7046946984348281</v>
      </c>
      <c r="N24" s="10">
        <v>21</v>
      </c>
      <c r="O24" s="19">
        <f t="shared" ca="1" si="1"/>
        <v>3.0819601713162124</v>
      </c>
      <c r="P24" s="19">
        <f t="shared" ca="1" si="4"/>
        <v>5.29178991220952</v>
      </c>
      <c r="Q24" s="19">
        <f t="shared" ca="1" si="4"/>
        <v>5.1473211999364601</v>
      </c>
      <c r="R24" s="19">
        <f t="shared" ca="1" si="4"/>
        <v>5.509605248649045</v>
      </c>
      <c r="S24" s="19">
        <f t="shared" ca="1" si="4"/>
        <v>5.9060220303892166</v>
      </c>
      <c r="T24" s="19">
        <f t="shared" ca="1" si="4"/>
        <v>2.0005509171735745</v>
      </c>
      <c r="U24" s="19">
        <f t="shared" ca="1" si="4"/>
        <v>2.2650623095885911</v>
      </c>
      <c r="V24" s="19">
        <f t="shared" ca="1" si="4"/>
        <v>3.5565139108350721</v>
      </c>
      <c r="W24" s="19">
        <f t="shared" ca="1" si="4"/>
        <v>4.0695102966266052</v>
      </c>
      <c r="X24" s="19">
        <f t="shared" ca="1" si="4"/>
        <v>3.1576095150061265</v>
      </c>
    </row>
    <row r="25" spans="1:24" x14ac:dyDescent="0.3">
      <c r="A25" s="36">
        <v>16</v>
      </c>
      <c r="B25" s="155">
        <f t="shared" ca="1" si="2"/>
        <v>5.756094266321865</v>
      </c>
      <c r="C25" s="155">
        <f t="shared" ca="1" si="3"/>
        <v>2.3518582123651672</v>
      </c>
      <c r="D25" s="155">
        <f t="shared" ca="1" si="3"/>
        <v>11.314854508434008</v>
      </c>
      <c r="E25" s="155">
        <f t="shared" ca="1" si="3"/>
        <v>12.513183869545243</v>
      </c>
      <c r="F25" s="155">
        <f t="shared" ca="1" si="3"/>
        <v>11.903141630908749</v>
      </c>
      <c r="G25" s="155">
        <f t="shared" ca="1" si="3"/>
        <v>9.5942743119330487</v>
      </c>
      <c r="H25" s="155">
        <f t="shared" ca="1" si="3"/>
        <v>11.781839638818967</v>
      </c>
      <c r="N25" s="10">
        <v>22</v>
      </c>
      <c r="O25" s="19">
        <f t="shared" ca="1" si="1"/>
        <v>3.2676961478235933</v>
      </c>
      <c r="P25" s="19">
        <f t="shared" ca="1" si="4"/>
        <v>4.3201756645501543</v>
      </c>
      <c r="Q25" s="19">
        <f t="shared" ca="1" si="4"/>
        <v>3.5396237569530764</v>
      </c>
      <c r="R25" s="19">
        <f t="shared" ca="1" si="4"/>
        <v>4.3055526190565239</v>
      </c>
      <c r="S25" s="19">
        <f t="shared" ca="1" si="4"/>
        <v>4.8652529152630244</v>
      </c>
      <c r="T25" s="19">
        <f t="shared" ca="1" si="4"/>
        <v>5.0828837052438596</v>
      </c>
      <c r="U25" s="19">
        <f t="shared" ca="1" si="4"/>
        <v>2.2899673788074186</v>
      </c>
      <c r="V25" s="19">
        <f t="shared" ca="1" si="4"/>
        <v>5.5451627859350943</v>
      </c>
      <c r="W25" s="19">
        <f t="shared" ca="1" si="4"/>
        <v>2.424698838014713</v>
      </c>
      <c r="X25" s="19">
        <f t="shared" ca="1" si="4"/>
        <v>2.8713713181538019</v>
      </c>
    </row>
    <row r="26" spans="1:24" x14ac:dyDescent="0.3">
      <c r="A26" s="36">
        <v>17</v>
      </c>
      <c r="B26" s="155">
        <f t="shared" ca="1" si="2"/>
        <v>10.011614568150558</v>
      </c>
      <c r="C26" s="155">
        <f t="shared" ca="1" si="3"/>
        <v>14.566211502881499</v>
      </c>
      <c r="D26" s="155">
        <f t="shared" ca="1" si="3"/>
        <v>17.778983289019063</v>
      </c>
      <c r="E26" s="155">
        <f t="shared" ca="1" si="3"/>
        <v>13.827988449716649</v>
      </c>
      <c r="F26" s="155">
        <f t="shared" ca="1" si="3"/>
        <v>11.286877795130861</v>
      </c>
      <c r="G26" s="155">
        <f t="shared" ca="1" si="3"/>
        <v>13.490218093513805</v>
      </c>
      <c r="H26" s="155">
        <f t="shared" ca="1" si="3"/>
        <v>11.80961139253891</v>
      </c>
      <c r="N26" s="10">
        <v>23</v>
      </c>
      <c r="O26" s="19">
        <f t="shared" ca="1" si="1"/>
        <v>5.960578276382309</v>
      </c>
      <c r="P26" s="19">
        <f t="shared" ca="1" si="4"/>
        <v>4.9530014058324756</v>
      </c>
      <c r="Q26" s="19">
        <f t="shared" ca="1" si="4"/>
        <v>3.2200458729274231</v>
      </c>
      <c r="R26" s="19">
        <f t="shared" ca="1" si="4"/>
        <v>5.3428005582973821</v>
      </c>
      <c r="S26" s="19">
        <f t="shared" ca="1" si="4"/>
        <v>5.0203428893013342</v>
      </c>
      <c r="T26" s="19">
        <f t="shared" ca="1" si="4"/>
        <v>2.3948134432652304</v>
      </c>
      <c r="U26" s="19">
        <f t="shared" ca="1" si="4"/>
        <v>5.1314677506200326</v>
      </c>
      <c r="V26" s="19">
        <f t="shared" ca="1" si="4"/>
        <v>2.434769111194568</v>
      </c>
      <c r="W26" s="19">
        <f t="shared" ca="1" si="4"/>
        <v>4.1304744933565383</v>
      </c>
      <c r="X26" s="19">
        <f t="shared" ca="1" si="4"/>
        <v>5.805313726462165</v>
      </c>
    </row>
    <row r="27" spans="1:24" x14ac:dyDescent="0.3">
      <c r="A27" s="36">
        <v>18</v>
      </c>
      <c r="B27" s="155">
        <f t="shared" ca="1" si="2"/>
        <v>8.2353365827420291</v>
      </c>
      <c r="C27" s="155">
        <f t="shared" ref="C27:H27" ca="1" si="5">16*RAND()+2</f>
        <v>4.5769157823074345</v>
      </c>
      <c r="D27" s="155">
        <f t="shared" ca="1" si="5"/>
        <v>9.1269954851720723</v>
      </c>
      <c r="E27" s="155">
        <f t="shared" ca="1" si="5"/>
        <v>7.3585199366857932</v>
      </c>
      <c r="F27" s="155">
        <f t="shared" ca="1" si="5"/>
        <v>10.276101958079488</v>
      </c>
      <c r="G27" s="155">
        <f t="shared" ca="1" si="5"/>
        <v>8.6948007649375931</v>
      </c>
      <c r="H27" s="155">
        <f t="shared" ca="1" si="5"/>
        <v>3.2563366833759471</v>
      </c>
      <c r="N27" s="10">
        <v>24</v>
      </c>
      <c r="O27" s="19">
        <f t="shared" ca="1" si="1"/>
        <v>4.3292197108275889</v>
      </c>
      <c r="P27" s="19">
        <f t="shared" ca="1" si="4"/>
        <v>5.9379252035864143</v>
      </c>
      <c r="Q27" s="19">
        <f t="shared" ca="1" si="4"/>
        <v>5.9854972772995101</v>
      </c>
      <c r="R27" s="19">
        <f t="shared" ca="1" si="4"/>
        <v>2.0665416133487282</v>
      </c>
      <c r="S27" s="19">
        <f t="shared" ca="1" si="4"/>
        <v>3.3667243885062805</v>
      </c>
      <c r="T27" s="19">
        <f t="shared" ca="1" si="4"/>
        <v>5.291895472874395</v>
      </c>
      <c r="U27" s="19">
        <f t="shared" ca="1" si="4"/>
        <v>2.8114514922031173</v>
      </c>
      <c r="V27" s="19">
        <f t="shared" ca="1" si="4"/>
        <v>5.5439382528970231</v>
      </c>
      <c r="W27" s="19">
        <f t="shared" ca="1" si="4"/>
        <v>5.8465061079106713</v>
      </c>
      <c r="X27" s="19">
        <f t="shared" ca="1" si="4"/>
        <v>3.3963478164894023</v>
      </c>
    </row>
    <row r="28" spans="1:24" x14ac:dyDescent="0.3">
      <c r="A28" s="36">
        <v>19</v>
      </c>
      <c r="B28" s="155">
        <f t="shared" ref="B28:H34" ca="1" si="6">16*RAND()+2</f>
        <v>4.8315820267917804</v>
      </c>
      <c r="C28" s="155">
        <f t="shared" ca="1" si="6"/>
        <v>4.0810613375634883</v>
      </c>
      <c r="D28" s="155">
        <f t="shared" ca="1" si="6"/>
        <v>5.0211418690721246</v>
      </c>
      <c r="E28" s="155">
        <f t="shared" ca="1" si="6"/>
        <v>14.560225668656596</v>
      </c>
      <c r="F28" s="155">
        <f t="shared" ca="1" si="6"/>
        <v>9.418877617402913</v>
      </c>
      <c r="G28" s="155">
        <f t="shared" ca="1" si="6"/>
        <v>16.617976482700655</v>
      </c>
      <c r="H28" s="155">
        <f t="shared" ca="1" si="6"/>
        <v>9.1479320795715999</v>
      </c>
      <c r="N28" s="10">
        <v>25</v>
      </c>
      <c r="O28" s="19">
        <f t="shared" ca="1" si="1"/>
        <v>3.1972012482455021</v>
      </c>
      <c r="P28" s="19">
        <f t="shared" ca="1" si="4"/>
        <v>5.790373870093724</v>
      </c>
      <c r="Q28" s="19">
        <f t="shared" ca="1" si="4"/>
        <v>2.4923071025670858</v>
      </c>
      <c r="R28" s="19">
        <f t="shared" ca="1" si="4"/>
        <v>4.1274893645380439</v>
      </c>
      <c r="S28" s="19">
        <f t="shared" ca="1" si="4"/>
        <v>4.7361060382633973</v>
      </c>
      <c r="T28" s="19">
        <f t="shared" ca="1" si="4"/>
        <v>4.6156301892876517</v>
      </c>
      <c r="U28" s="19">
        <f t="shared" ca="1" si="4"/>
        <v>2.8853606718105689</v>
      </c>
      <c r="V28" s="19">
        <f t="shared" ca="1" si="4"/>
        <v>4.6454482615153907</v>
      </c>
      <c r="W28" s="19">
        <f t="shared" ca="1" si="4"/>
        <v>4.7785901998617994</v>
      </c>
      <c r="X28" s="19">
        <f t="shared" ca="1" si="4"/>
        <v>3.763685060480483</v>
      </c>
    </row>
    <row r="29" spans="1:24" x14ac:dyDescent="0.3">
      <c r="A29" s="36">
        <v>20</v>
      </c>
      <c r="B29" s="155">
        <f t="shared" ca="1" si="6"/>
        <v>8.096403124093321</v>
      </c>
      <c r="C29" s="155">
        <f t="shared" ca="1" si="6"/>
        <v>11.987842118626567</v>
      </c>
      <c r="D29" s="155">
        <f t="shared" ca="1" si="6"/>
        <v>2.9530479075447911</v>
      </c>
      <c r="E29" s="155">
        <f t="shared" ca="1" si="6"/>
        <v>14.502788261016107</v>
      </c>
      <c r="F29" s="155">
        <f t="shared" ca="1" si="6"/>
        <v>15.720854341700841</v>
      </c>
      <c r="G29" s="155">
        <f t="shared" ca="1" si="6"/>
        <v>15.973919719522579</v>
      </c>
      <c r="H29" s="155">
        <f t="shared" ca="1" si="6"/>
        <v>2.2195176756056512</v>
      </c>
    </row>
    <row r="30" spans="1:24" x14ac:dyDescent="0.3">
      <c r="A30" s="36">
        <v>21</v>
      </c>
      <c r="B30" s="155">
        <f t="shared" ca="1" si="6"/>
        <v>7.6140776437863149</v>
      </c>
      <c r="C30" s="155">
        <f t="shared" ca="1" si="6"/>
        <v>2.689366688188338</v>
      </c>
      <c r="D30" s="155">
        <f t="shared" ca="1" si="6"/>
        <v>5.8615766598259516</v>
      </c>
      <c r="E30" s="155">
        <f t="shared" ca="1" si="6"/>
        <v>15.288267553933879</v>
      </c>
      <c r="F30" s="155">
        <f t="shared" ca="1" si="6"/>
        <v>6.0249944858476834</v>
      </c>
      <c r="G30" s="155">
        <f t="shared" ca="1" si="6"/>
        <v>6.6155810888303126</v>
      </c>
      <c r="H30" s="155">
        <f t="shared" ca="1" si="6"/>
        <v>10.346895070848571</v>
      </c>
    </row>
    <row r="31" spans="1:24" x14ac:dyDescent="0.3">
      <c r="A31" s="36">
        <v>22</v>
      </c>
      <c r="B31" s="155">
        <f t="shared" ca="1" si="6"/>
        <v>4.0334003262049034</v>
      </c>
      <c r="C31" s="155">
        <f t="shared" ca="1" si="6"/>
        <v>7.1194977737123768</v>
      </c>
      <c r="D31" s="155">
        <f t="shared" ca="1" si="6"/>
        <v>10.082506160618237</v>
      </c>
      <c r="E31" s="155">
        <f t="shared" ca="1" si="6"/>
        <v>16.947851789551027</v>
      </c>
      <c r="F31" s="155">
        <f t="shared" ca="1" si="6"/>
        <v>14.383121681860093</v>
      </c>
      <c r="G31" s="155">
        <f t="shared" ca="1" si="6"/>
        <v>6.7657061536120739</v>
      </c>
      <c r="H31" s="155">
        <f t="shared" ca="1" si="6"/>
        <v>16.616079524435442</v>
      </c>
    </row>
    <row r="32" spans="1:24" x14ac:dyDescent="0.3">
      <c r="A32" s="36">
        <v>23</v>
      </c>
      <c r="B32" s="155">
        <f t="shared" ca="1" si="6"/>
        <v>17.293248984792896</v>
      </c>
      <c r="C32" s="155">
        <f t="shared" ca="1" si="6"/>
        <v>8.6190832544491691</v>
      </c>
      <c r="D32" s="155">
        <f t="shared" ca="1" si="6"/>
        <v>3.5257644908779646</v>
      </c>
      <c r="E32" s="155">
        <f t="shared" ca="1" si="6"/>
        <v>8.0709801775556738</v>
      </c>
      <c r="F32" s="155">
        <f t="shared" ca="1" si="6"/>
        <v>6.9568123505448245</v>
      </c>
      <c r="G32" s="155">
        <f t="shared" ca="1" si="6"/>
        <v>3.1997863156281188</v>
      </c>
      <c r="H32" s="155">
        <f t="shared" ca="1" si="6"/>
        <v>16.627293256981154</v>
      </c>
    </row>
    <row r="33" spans="1:8" x14ac:dyDescent="0.3">
      <c r="A33" s="36">
        <v>24</v>
      </c>
      <c r="B33" s="155">
        <f t="shared" ca="1" si="6"/>
        <v>6.4914094350024474</v>
      </c>
      <c r="C33" s="155">
        <f t="shared" ca="1" si="6"/>
        <v>10.304669184042318</v>
      </c>
      <c r="D33" s="155">
        <f t="shared" ca="1" si="6"/>
        <v>9.0414672221696453</v>
      </c>
      <c r="E33" s="155">
        <f t="shared" ca="1" si="6"/>
        <v>8.0663007122602775</v>
      </c>
      <c r="F33" s="155">
        <f t="shared" ca="1" si="6"/>
        <v>16.869505834918929</v>
      </c>
      <c r="G33" s="155">
        <f t="shared" ca="1" si="6"/>
        <v>14.892751657769955</v>
      </c>
      <c r="H33" s="155">
        <f t="shared" ca="1" si="6"/>
        <v>5.9749811812889906</v>
      </c>
    </row>
    <row r="34" spans="1:8" x14ac:dyDescent="0.3">
      <c r="A34" s="36">
        <v>25</v>
      </c>
      <c r="B34" s="155">
        <f t="shared" ca="1" si="6"/>
        <v>2.8519294599274456</v>
      </c>
      <c r="C34" s="155">
        <f t="shared" ca="1" si="6"/>
        <v>3.5912627587175159</v>
      </c>
      <c r="D34" s="155">
        <f t="shared" ca="1" si="6"/>
        <v>12.41358642549941</v>
      </c>
      <c r="E34" s="155">
        <f t="shared" ca="1" si="6"/>
        <v>10.672251112136575</v>
      </c>
      <c r="F34" s="155">
        <f t="shared" ca="1" si="6"/>
        <v>7.1748559949363635</v>
      </c>
      <c r="G34" s="155">
        <f t="shared" ca="1" si="6"/>
        <v>15.756313643721642</v>
      </c>
      <c r="H34" s="155">
        <f t="shared" ca="1" si="6"/>
        <v>13.483799588425244</v>
      </c>
    </row>
  </sheetData>
  <mergeCells count="5">
    <mergeCell ref="B7:H7"/>
    <mergeCell ref="B9:H9"/>
    <mergeCell ref="N2:N3"/>
    <mergeCell ref="O2:X3"/>
    <mergeCell ref="A7:A9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S58"/>
  <sheetViews>
    <sheetView topLeftCell="A32" workbookViewId="0">
      <selection activeCell="A32" sqref="A32:F57"/>
    </sheetView>
  </sheetViews>
  <sheetFormatPr defaultRowHeight="15" x14ac:dyDescent="0.25"/>
  <cols>
    <col min="2" max="2" width="10.28515625" customWidth="1"/>
    <col min="3" max="3" width="13.140625" customWidth="1"/>
    <col min="4" max="4" width="16.28515625" bestFit="1" customWidth="1"/>
    <col min="5" max="5" width="11.5703125" bestFit="1" customWidth="1"/>
    <col min="6" max="6" width="13" bestFit="1" customWidth="1"/>
    <col min="7" max="7" width="16.28515625" bestFit="1" customWidth="1"/>
    <col min="10" max="10" width="11.42578125" customWidth="1"/>
    <col min="11" max="11" width="12.28515625" customWidth="1"/>
    <col min="12" max="12" width="3" customWidth="1"/>
    <col min="16" max="16" width="3.140625" customWidth="1"/>
  </cols>
  <sheetData>
    <row r="2" spans="2:19" ht="19.5" x14ac:dyDescent="0.35">
      <c r="B2" s="243" t="s">
        <v>204</v>
      </c>
      <c r="C2" s="245" t="s">
        <v>266</v>
      </c>
      <c r="D2" s="259"/>
      <c r="E2" s="259"/>
      <c r="F2" s="260"/>
      <c r="G2" s="260"/>
      <c r="I2" s="243" t="s">
        <v>204</v>
      </c>
      <c r="J2" s="243" t="s">
        <v>267</v>
      </c>
      <c r="K2" s="243"/>
      <c r="M2" s="243" t="s">
        <v>204</v>
      </c>
      <c r="N2" s="243" t="s">
        <v>267</v>
      </c>
      <c r="O2" s="243"/>
      <c r="Q2" s="243" t="s">
        <v>204</v>
      </c>
      <c r="R2" s="243" t="s">
        <v>267</v>
      </c>
      <c r="S2" s="243"/>
    </row>
    <row r="3" spans="2:19" ht="19.5" x14ac:dyDescent="0.35">
      <c r="B3" s="243"/>
      <c r="C3" s="150" t="s">
        <v>81</v>
      </c>
      <c r="D3" s="150" t="s">
        <v>75</v>
      </c>
      <c r="E3" s="150" t="s">
        <v>76</v>
      </c>
      <c r="F3" s="150" t="s">
        <v>77</v>
      </c>
      <c r="G3" s="150" t="s">
        <v>82</v>
      </c>
      <c r="I3" s="244"/>
      <c r="J3" s="244"/>
      <c r="K3" s="244"/>
      <c r="M3" s="244"/>
      <c r="N3" s="244"/>
      <c r="O3" s="244"/>
      <c r="Q3" s="244"/>
      <c r="R3" s="244"/>
      <c r="S3" s="244"/>
    </row>
    <row r="4" spans="2:19" ht="19.5" x14ac:dyDescent="0.35">
      <c r="B4" s="258"/>
      <c r="C4" s="247" t="s">
        <v>80</v>
      </c>
      <c r="D4" s="261"/>
      <c r="E4" s="261"/>
      <c r="F4" s="261"/>
      <c r="G4" s="262"/>
      <c r="I4" s="10">
        <v>1</v>
      </c>
      <c r="J4" s="149">
        <f ca="1">RANDBETWEEN(1,8)</f>
        <v>6</v>
      </c>
      <c r="K4" s="149">
        <f ca="1">RANDBETWEEN(200,350)</f>
        <v>295</v>
      </c>
      <c r="M4" s="10">
        <v>9</v>
      </c>
      <c r="N4" s="149">
        <f t="shared" ref="N4:N11" ca="1" si="0">RANDBETWEEN(1,8)</f>
        <v>6</v>
      </c>
      <c r="O4" s="149">
        <f t="shared" ref="O4:O11" ca="1" si="1">RANDBETWEEN(200,350)</f>
        <v>228</v>
      </c>
      <c r="Q4" s="10">
        <v>17</v>
      </c>
      <c r="R4" s="149">
        <f t="shared" ref="R4:R11" ca="1" si="2">RANDBETWEEN(1,8)</f>
        <v>1</v>
      </c>
      <c r="S4" s="149">
        <f t="shared" ref="S4:S11" ca="1" si="3">RANDBETWEEN(200,350)</f>
        <v>333</v>
      </c>
    </row>
    <row r="5" spans="2:19" ht="18.75" x14ac:dyDescent="0.3">
      <c r="B5" s="36">
        <v>1</v>
      </c>
      <c r="C5" s="155">
        <f ca="1">RANDBETWEEN(30,120)</f>
        <v>97</v>
      </c>
      <c r="D5" s="155">
        <f t="shared" ref="D5:G20" ca="1" si="4">RANDBETWEEN(30,120)</f>
        <v>107</v>
      </c>
      <c r="E5" s="155">
        <f t="shared" ca="1" si="4"/>
        <v>82</v>
      </c>
      <c r="F5" s="155">
        <f t="shared" ca="1" si="4"/>
        <v>77</v>
      </c>
      <c r="G5" s="155">
        <f t="shared" ca="1" si="4"/>
        <v>85</v>
      </c>
      <c r="I5" s="10">
        <v>2</v>
      </c>
      <c r="J5" s="149">
        <f t="shared" ref="J5:J28" ca="1" si="5">RANDBETWEEN(1,8)</f>
        <v>5</v>
      </c>
      <c r="K5" s="149">
        <f t="shared" ref="K5:K28" ca="1" si="6">RANDBETWEEN(200,350)</f>
        <v>244</v>
      </c>
      <c r="M5" s="10">
        <v>10</v>
      </c>
      <c r="N5" s="149">
        <f t="shared" ca="1" si="0"/>
        <v>3</v>
      </c>
      <c r="O5" s="149">
        <f t="shared" ca="1" si="1"/>
        <v>287</v>
      </c>
      <c r="Q5" s="10">
        <v>18</v>
      </c>
      <c r="R5" s="149">
        <f t="shared" ca="1" si="2"/>
        <v>6</v>
      </c>
      <c r="S5" s="149">
        <f t="shared" ca="1" si="3"/>
        <v>252</v>
      </c>
    </row>
    <row r="6" spans="2:19" ht="18.75" x14ac:dyDescent="0.3">
      <c r="B6" s="36">
        <v>2</v>
      </c>
      <c r="C6" s="155">
        <f t="shared" ref="C6:G29" ca="1" si="7">RANDBETWEEN(30,120)</f>
        <v>83</v>
      </c>
      <c r="D6" s="155">
        <f t="shared" ca="1" si="4"/>
        <v>98</v>
      </c>
      <c r="E6" s="155">
        <f t="shared" ca="1" si="4"/>
        <v>50</v>
      </c>
      <c r="F6" s="155">
        <f t="shared" ca="1" si="4"/>
        <v>40</v>
      </c>
      <c r="G6" s="155">
        <f t="shared" ca="1" si="4"/>
        <v>35</v>
      </c>
      <c r="I6" s="10">
        <v>3</v>
      </c>
      <c r="J6" s="149">
        <f t="shared" ca="1" si="5"/>
        <v>5</v>
      </c>
      <c r="K6" s="149">
        <f t="shared" ca="1" si="6"/>
        <v>267</v>
      </c>
      <c r="M6" s="10">
        <v>11</v>
      </c>
      <c r="N6" s="149">
        <f t="shared" ca="1" si="0"/>
        <v>8</v>
      </c>
      <c r="O6" s="149">
        <f t="shared" ca="1" si="1"/>
        <v>288</v>
      </c>
      <c r="Q6" s="10">
        <v>19</v>
      </c>
      <c r="R6" s="149">
        <f t="shared" ca="1" si="2"/>
        <v>5</v>
      </c>
      <c r="S6" s="149">
        <f t="shared" ca="1" si="3"/>
        <v>315</v>
      </c>
    </row>
    <row r="7" spans="2:19" ht="18.75" x14ac:dyDescent="0.3">
      <c r="B7" s="36">
        <v>3</v>
      </c>
      <c r="C7" s="155">
        <f t="shared" ca="1" si="7"/>
        <v>110</v>
      </c>
      <c r="D7" s="155">
        <f t="shared" ca="1" si="4"/>
        <v>89</v>
      </c>
      <c r="E7" s="155">
        <f t="shared" ca="1" si="4"/>
        <v>66</v>
      </c>
      <c r="F7" s="155">
        <f t="shared" ca="1" si="4"/>
        <v>89</v>
      </c>
      <c r="G7" s="155">
        <f t="shared" ca="1" si="4"/>
        <v>103</v>
      </c>
      <c r="I7" s="10">
        <v>4</v>
      </c>
      <c r="J7" s="149">
        <f t="shared" ca="1" si="5"/>
        <v>6</v>
      </c>
      <c r="K7" s="149">
        <f t="shared" ca="1" si="6"/>
        <v>279</v>
      </c>
      <c r="M7" s="10">
        <v>12</v>
      </c>
      <c r="N7" s="149">
        <f t="shared" ca="1" si="0"/>
        <v>8</v>
      </c>
      <c r="O7" s="149">
        <f t="shared" ca="1" si="1"/>
        <v>235</v>
      </c>
      <c r="Q7" s="10">
        <v>20</v>
      </c>
      <c r="R7" s="149">
        <f t="shared" ca="1" si="2"/>
        <v>2</v>
      </c>
      <c r="S7" s="149">
        <f t="shared" ca="1" si="3"/>
        <v>326</v>
      </c>
    </row>
    <row r="8" spans="2:19" ht="18.75" x14ac:dyDescent="0.3">
      <c r="B8" s="36">
        <v>4</v>
      </c>
      <c r="C8" s="155">
        <f t="shared" ca="1" si="7"/>
        <v>47</v>
      </c>
      <c r="D8" s="155">
        <f t="shared" ca="1" si="4"/>
        <v>78</v>
      </c>
      <c r="E8" s="155">
        <f t="shared" ca="1" si="4"/>
        <v>38</v>
      </c>
      <c r="F8" s="155">
        <f t="shared" ca="1" si="4"/>
        <v>117</v>
      </c>
      <c r="G8" s="155">
        <f t="shared" ca="1" si="4"/>
        <v>115</v>
      </c>
      <c r="I8" s="10">
        <v>5</v>
      </c>
      <c r="J8" s="149">
        <f t="shared" ca="1" si="5"/>
        <v>6</v>
      </c>
      <c r="K8" s="149">
        <f t="shared" ca="1" si="6"/>
        <v>292</v>
      </c>
      <c r="M8" s="10">
        <v>13</v>
      </c>
      <c r="N8" s="149">
        <f t="shared" ca="1" si="0"/>
        <v>8</v>
      </c>
      <c r="O8" s="149">
        <f t="shared" ca="1" si="1"/>
        <v>261</v>
      </c>
      <c r="Q8" s="10">
        <v>21</v>
      </c>
      <c r="R8" s="149">
        <f t="shared" ca="1" si="2"/>
        <v>6</v>
      </c>
      <c r="S8" s="149">
        <f t="shared" ca="1" si="3"/>
        <v>255</v>
      </c>
    </row>
    <row r="9" spans="2:19" ht="18.75" x14ac:dyDescent="0.3">
      <c r="B9" s="36">
        <v>5</v>
      </c>
      <c r="C9" s="155">
        <f t="shared" ca="1" si="7"/>
        <v>55</v>
      </c>
      <c r="D9" s="155">
        <f t="shared" ca="1" si="4"/>
        <v>103</v>
      </c>
      <c r="E9" s="155">
        <f t="shared" ca="1" si="4"/>
        <v>95</v>
      </c>
      <c r="F9" s="155">
        <f t="shared" ca="1" si="4"/>
        <v>92</v>
      </c>
      <c r="G9" s="155">
        <f t="shared" ca="1" si="4"/>
        <v>53</v>
      </c>
      <c r="I9" s="10">
        <v>6</v>
      </c>
      <c r="J9" s="149">
        <f t="shared" ca="1" si="5"/>
        <v>1</v>
      </c>
      <c r="K9" s="149">
        <f t="shared" ca="1" si="6"/>
        <v>350</v>
      </c>
      <c r="M9" s="10">
        <v>14</v>
      </c>
      <c r="N9" s="149">
        <f t="shared" ca="1" si="0"/>
        <v>1</v>
      </c>
      <c r="O9" s="149">
        <f t="shared" ca="1" si="1"/>
        <v>214</v>
      </c>
      <c r="Q9" s="10">
        <v>22</v>
      </c>
      <c r="R9" s="149">
        <f t="shared" ca="1" si="2"/>
        <v>5</v>
      </c>
      <c r="S9" s="149">
        <f t="shared" ca="1" si="3"/>
        <v>312</v>
      </c>
    </row>
    <row r="10" spans="2:19" ht="18.75" x14ac:dyDescent="0.3">
      <c r="B10" s="36">
        <v>6</v>
      </c>
      <c r="C10" s="155">
        <f t="shared" ca="1" si="7"/>
        <v>97</v>
      </c>
      <c r="D10" s="155">
        <f t="shared" ca="1" si="4"/>
        <v>98</v>
      </c>
      <c r="E10" s="155">
        <f t="shared" ca="1" si="4"/>
        <v>91</v>
      </c>
      <c r="F10" s="155">
        <f t="shared" ca="1" si="4"/>
        <v>70</v>
      </c>
      <c r="G10" s="155">
        <f t="shared" ca="1" si="4"/>
        <v>59</v>
      </c>
      <c r="I10" s="10">
        <v>7</v>
      </c>
      <c r="J10" s="149">
        <f t="shared" ca="1" si="5"/>
        <v>1</v>
      </c>
      <c r="K10" s="149">
        <f t="shared" ca="1" si="6"/>
        <v>242</v>
      </c>
      <c r="M10" s="10">
        <v>15</v>
      </c>
      <c r="N10" s="149">
        <f t="shared" ca="1" si="0"/>
        <v>1</v>
      </c>
      <c r="O10" s="149">
        <f t="shared" ca="1" si="1"/>
        <v>306</v>
      </c>
      <c r="Q10" s="10">
        <v>23</v>
      </c>
      <c r="R10" s="149">
        <f t="shared" ca="1" si="2"/>
        <v>8</v>
      </c>
      <c r="S10" s="149">
        <f t="shared" ca="1" si="3"/>
        <v>221</v>
      </c>
    </row>
    <row r="11" spans="2:19" ht="18.75" x14ac:dyDescent="0.3">
      <c r="B11" s="36">
        <v>7</v>
      </c>
      <c r="C11" s="155">
        <f t="shared" ca="1" si="7"/>
        <v>101</v>
      </c>
      <c r="D11" s="155">
        <f t="shared" ca="1" si="4"/>
        <v>83</v>
      </c>
      <c r="E11" s="155">
        <f t="shared" ca="1" si="4"/>
        <v>78</v>
      </c>
      <c r="F11" s="155">
        <f t="shared" ca="1" si="4"/>
        <v>49</v>
      </c>
      <c r="G11" s="155">
        <f t="shared" ca="1" si="4"/>
        <v>42</v>
      </c>
      <c r="I11" s="10">
        <v>8</v>
      </c>
      <c r="J11" s="149">
        <f t="shared" ca="1" si="5"/>
        <v>2</v>
      </c>
      <c r="K11" s="149">
        <f t="shared" ca="1" si="6"/>
        <v>295</v>
      </c>
      <c r="M11" s="10">
        <v>16</v>
      </c>
      <c r="N11" s="149">
        <f t="shared" ca="1" si="0"/>
        <v>8</v>
      </c>
      <c r="O11" s="149">
        <f t="shared" ca="1" si="1"/>
        <v>297</v>
      </c>
      <c r="Q11" s="10">
        <v>24</v>
      </c>
      <c r="R11" s="149">
        <f t="shared" ca="1" si="2"/>
        <v>6</v>
      </c>
      <c r="S11" s="149">
        <f t="shared" ca="1" si="3"/>
        <v>305</v>
      </c>
    </row>
    <row r="12" spans="2:19" ht="18.75" x14ac:dyDescent="0.3">
      <c r="B12" s="36">
        <v>8</v>
      </c>
      <c r="C12" s="155">
        <f t="shared" ca="1" si="7"/>
        <v>103</v>
      </c>
      <c r="D12" s="155">
        <f t="shared" ca="1" si="4"/>
        <v>101</v>
      </c>
      <c r="E12" s="155">
        <f t="shared" ca="1" si="4"/>
        <v>96</v>
      </c>
      <c r="F12" s="155">
        <f t="shared" ca="1" si="4"/>
        <v>79</v>
      </c>
      <c r="G12" s="155">
        <f t="shared" ca="1" si="4"/>
        <v>71</v>
      </c>
      <c r="I12" s="10">
        <v>9</v>
      </c>
      <c r="J12" s="149">
        <f t="shared" ca="1" si="5"/>
        <v>3</v>
      </c>
      <c r="K12" s="149">
        <f t="shared" ca="1" si="6"/>
        <v>336</v>
      </c>
    </row>
    <row r="13" spans="2:19" ht="18.75" x14ac:dyDescent="0.3">
      <c r="B13" s="36">
        <v>9</v>
      </c>
      <c r="C13" s="155">
        <f t="shared" ca="1" si="7"/>
        <v>94</v>
      </c>
      <c r="D13" s="155">
        <f t="shared" ca="1" si="4"/>
        <v>99</v>
      </c>
      <c r="E13" s="155">
        <f t="shared" ca="1" si="4"/>
        <v>84</v>
      </c>
      <c r="F13" s="155">
        <f t="shared" ca="1" si="4"/>
        <v>79</v>
      </c>
      <c r="G13" s="155">
        <f t="shared" ca="1" si="4"/>
        <v>93</v>
      </c>
      <c r="I13" s="10">
        <v>10</v>
      </c>
      <c r="J13" s="149">
        <f t="shared" ca="1" si="5"/>
        <v>7</v>
      </c>
      <c r="K13" s="149">
        <f t="shared" ca="1" si="6"/>
        <v>206</v>
      </c>
    </row>
    <row r="14" spans="2:19" ht="18.75" x14ac:dyDescent="0.3">
      <c r="B14" s="36">
        <v>10</v>
      </c>
      <c r="C14" s="155">
        <f t="shared" ca="1" si="7"/>
        <v>36</v>
      </c>
      <c r="D14" s="155">
        <f t="shared" ca="1" si="4"/>
        <v>88</v>
      </c>
      <c r="E14" s="155">
        <f t="shared" ca="1" si="4"/>
        <v>68</v>
      </c>
      <c r="F14" s="155">
        <f t="shared" ca="1" si="4"/>
        <v>72</v>
      </c>
      <c r="G14" s="155">
        <f t="shared" ca="1" si="4"/>
        <v>118</v>
      </c>
      <c r="I14" s="10">
        <v>11</v>
      </c>
      <c r="J14" s="149">
        <f t="shared" ca="1" si="5"/>
        <v>3</v>
      </c>
      <c r="K14" s="149">
        <f t="shared" ca="1" si="6"/>
        <v>314</v>
      </c>
    </row>
    <row r="15" spans="2:19" ht="18.75" x14ac:dyDescent="0.3">
      <c r="B15" s="36">
        <v>11</v>
      </c>
      <c r="C15" s="155">
        <f t="shared" ca="1" si="7"/>
        <v>58</v>
      </c>
      <c r="D15" s="155">
        <f t="shared" ca="1" si="4"/>
        <v>68</v>
      </c>
      <c r="E15" s="155">
        <f t="shared" ca="1" si="4"/>
        <v>44</v>
      </c>
      <c r="F15" s="155">
        <f t="shared" ca="1" si="4"/>
        <v>55</v>
      </c>
      <c r="G15" s="155">
        <f t="shared" ca="1" si="4"/>
        <v>106</v>
      </c>
      <c r="I15" s="10">
        <v>12</v>
      </c>
      <c r="J15" s="149">
        <f t="shared" ca="1" si="5"/>
        <v>8</v>
      </c>
      <c r="K15" s="149">
        <f t="shared" ca="1" si="6"/>
        <v>328</v>
      </c>
    </row>
    <row r="16" spans="2:19" ht="18.75" x14ac:dyDescent="0.3">
      <c r="B16" s="36">
        <v>12</v>
      </c>
      <c r="C16" s="155">
        <f t="shared" ca="1" si="7"/>
        <v>44</v>
      </c>
      <c r="D16" s="155">
        <f t="shared" ca="1" si="4"/>
        <v>118</v>
      </c>
      <c r="E16" s="155">
        <f t="shared" ca="1" si="4"/>
        <v>110</v>
      </c>
      <c r="F16" s="155">
        <f t="shared" ca="1" si="4"/>
        <v>59</v>
      </c>
      <c r="G16" s="155">
        <f t="shared" ca="1" si="4"/>
        <v>44</v>
      </c>
      <c r="I16" s="10">
        <v>13</v>
      </c>
      <c r="J16" s="149">
        <f t="shared" ca="1" si="5"/>
        <v>2</v>
      </c>
      <c r="K16" s="149">
        <f t="shared" ca="1" si="6"/>
        <v>252</v>
      </c>
    </row>
    <row r="17" spans="1:19" ht="18.75" x14ac:dyDescent="0.3">
      <c r="B17" s="36">
        <v>13</v>
      </c>
      <c r="C17" s="155">
        <f t="shared" ca="1" si="7"/>
        <v>34</v>
      </c>
      <c r="D17" s="155">
        <f t="shared" ca="1" si="4"/>
        <v>117</v>
      </c>
      <c r="E17" s="155">
        <f t="shared" ca="1" si="4"/>
        <v>35</v>
      </c>
      <c r="F17" s="155">
        <f t="shared" ca="1" si="4"/>
        <v>56</v>
      </c>
      <c r="G17" s="155">
        <f t="shared" ca="1" si="4"/>
        <v>37</v>
      </c>
      <c r="I17" s="10">
        <v>14</v>
      </c>
      <c r="J17" s="149">
        <f t="shared" ca="1" si="5"/>
        <v>2</v>
      </c>
      <c r="K17" s="149">
        <f t="shared" ca="1" si="6"/>
        <v>335</v>
      </c>
    </row>
    <row r="18" spans="1:19" ht="18.75" x14ac:dyDescent="0.3">
      <c r="B18" s="36">
        <v>14</v>
      </c>
      <c r="C18" s="155">
        <f t="shared" ca="1" si="7"/>
        <v>103</v>
      </c>
      <c r="D18" s="155">
        <f t="shared" ca="1" si="4"/>
        <v>115</v>
      </c>
      <c r="E18" s="155">
        <f t="shared" ca="1" si="4"/>
        <v>91</v>
      </c>
      <c r="F18" s="155">
        <f t="shared" ca="1" si="4"/>
        <v>73</v>
      </c>
      <c r="G18" s="155">
        <f t="shared" ca="1" si="4"/>
        <v>90</v>
      </c>
      <c r="I18" s="10">
        <v>15</v>
      </c>
      <c r="J18" s="149">
        <f t="shared" ca="1" si="5"/>
        <v>4</v>
      </c>
      <c r="K18" s="149">
        <f t="shared" ca="1" si="6"/>
        <v>301</v>
      </c>
    </row>
    <row r="19" spans="1:19" ht="18.75" x14ac:dyDescent="0.3">
      <c r="B19" s="36">
        <v>15</v>
      </c>
      <c r="C19" s="155">
        <f t="shared" ca="1" si="7"/>
        <v>38</v>
      </c>
      <c r="D19" s="155">
        <f t="shared" ca="1" si="4"/>
        <v>111</v>
      </c>
      <c r="E19" s="155">
        <f t="shared" ca="1" si="4"/>
        <v>33</v>
      </c>
      <c r="F19" s="155">
        <f t="shared" ca="1" si="4"/>
        <v>115</v>
      </c>
      <c r="G19" s="155">
        <f t="shared" ca="1" si="4"/>
        <v>102</v>
      </c>
      <c r="I19" s="10">
        <v>16</v>
      </c>
      <c r="J19" s="149">
        <f t="shared" ca="1" si="5"/>
        <v>8</v>
      </c>
      <c r="K19" s="149">
        <f t="shared" ca="1" si="6"/>
        <v>310</v>
      </c>
    </row>
    <row r="20" spans="1:19" ht="18.75" x14ac:dyDescent="0.3">
      <c r="B20" s="36">
        <v>16</v>
      </c>
      <c r="C20" s="155">
        <f t="shared" ca="1" si="7"/>
        <v>92</v>
      </c>
      <c r="D20" s="155">
        <f t="shared" ca="1" si="4"/>
        <v>68</v>
      </c>
      <c r="E20" s="155">
        <f t="shared" ca="1" si="4"/>
        <v>56</v>
      </c>
      <c r="F20" s="155">
        <f t="shared" ca="1" si="4"/>
        <v>108</v>
      </c>
      <c r="G20" s="155">
        <f t="shared" ca="1" si="4"/>
        <v>54</v>
      </c>
      <c r="I20" s="10">
        <v>17</v>
      </c>
      <c r="J20" s="149">
        <f t="shared" ca="1" si="5"/>
        <v>8</v>
      </c>
      <c r="K20" s="149">
        <f t="shared" ca="1" si="6"/>
        <v>296</v>
      </c>
    </row>
    <row r="21" spans="1:19" ht="18.75" x14ac:dyDescent="0.3">
      <c r="B21" s="36">
        <v>17</v>
      </c>
      <c r="C21" s="155">
        <f t="shared" ca="1" si="7"/>
        <v>94</v>
      </c>
      <c r="D21" s="155">
        <f t="shared" ca="1" si="7"/>
        <v>97</v>
      </c>
      <c r="E21" s="155">
        <f t="shared" ca="1" si="7"/>
        <v>107</v>
      </c>
      <c r="F21" s="155">
        <f t="shared" ca="1" si="7"/>
        <v>92</v>
      </c>
      <c r="G21" s="155">
        <f t="shared" ca="1" si="7"/>
        <v>97</v>
      </c>
      <c r="I21" s="10">
        <v>18</v>
      </c>
      <c r="J21" s="149">
        <f t="shared" ca="1" si="5"/>
        <v>3</v>
      </c>
      <c r="K21" s="149">
        <f t="shared" ca="1" si="6"/>
        <v>211</v>
      </c>
    </row>
    <row r="22" spans="1:19" ht="18.75" x14ac:dyDescent="0.3">
      <c r="B22" s="36">
        <v>18</v>
      </c>
      <c r="C22" s="155">
        <f t="shared" ca="1" si="7"/>
        <v>72</v>
      </c>
      <c r="D22" s="155">
        <f t="shared" ca="1" si="7"/>
        <v>51</v>
      </c>
      <c r="E22" s="155">
        <f t="shared" ca="1" si="7"/>
        <v>77</v>
      </c>
      <c r="F22" s="155">
        <f t="shared" ca="1" si="7"/>
        <v>34</v>
      </c>
      <c r="G22" s="155">
        <f t="shared" ca="1" si="7"/>
        <v>46</v>
      </c>
      <c r="I22" s="10">
        <v>19</v>
      </c>
      <c r="J22" s="149">
        <f t="shared" ca="1" si="5"/>
        <v>7</v>
      </c>
      <c r="K22" s="149">
        <f t="shared" ca="1" si="6"/>
        <v>267</v>
      </c>
    </row>
    <row r="23" spans="1:19" ht="18.75" x14ac:dyDescent="0.3">
      <c r="B23" s="36">
        <v>19</v>
      </c>
      <c r="C23" s="155">
        <f t="shared" ca="1" si="7"/>
        <v>96</v>
      </c>
      <c r="D23" s="155">
        <f t="shared" ca="1" si="7"/>
        <v>36</v>
      </c>
      <c r="E23" s="155">
        <f t="shared" ca="1" si="7"/>
        <v>73</v>
      </c>
      <c r="F23" s="155">
        <f t="shared" ca="1" si="7"/>
        <v>34</v>
      </c>
      <c r="G23" s="155">
        <f t="shared" ca="1" si="7"/>
        <v>85</v>
      </c>
      <c r="I23" s="10">
        <v>20</v>
      </c>
      <c r="J23" s="149">
        <f t="shared" ca="1" si="5"/>
        <v>7</v>
      </c>
      <c r="K23" s="149">
        <f t="shared" ca="1" si="6"/>
        <v>320</v>
      </c>
    </row>
    <row r="24" spans="1:19" ht="18.75" x14ac:dyDescent="0.3">
      <c r="B24" s="36">
        <v>20</v>
      </c>
      <c r="C24" s="155">
        <f t="shared" ca="1" si="7"/>
        <v>60</v>
      </c>
      <c r="D24" s="155">
        <f t="shared" ca="1" si="7"/>
        <v>72</v>
      </c>
      <c r="E24" s="155">
        <f t="shared" ca="1" si="7"/>
        <v>41</v>
      </c>
      <c r="F24" s="155">
        <f t="shared" ca="1" si="7"/>
        <v>72</v>
      </c>
      <c r="G24" s="155">
        <f t="shared" ca="1" si="7"/>
        <v>64</v>
      </c>
      <c r="I24" s="10">
        <v>21</v>
      </c>
      <c r="J24" s="149">
        <f t="shared" ca="1" si="5"/>
        <v>1</v>
      </c>
      <c r="K24" s="149">
        <f t="shared" ca="1" si="6"/>
        <v>217</v>
      </c>
    </row>
    <row r="25" spans="1:19" ht="18.75" x14ac:dyDescent="0.3">
      <c r="B25" s="36">
        <v>21</v>
      </c>
      <c r="C25" s="155">
        <f t="shared" ca="1" si="7"/>
        <v>101</v>
      </c>
      <c r="D25" s="155">
        <f t="shared" ca="1" si="7"/>
        <v>63</v>
      </c>
      <c r="E25" s="155">
        <f t="shared" ca="1" si="7"/>
        <v>34</v>
      </c>
      <c r="F25" s="155">
        <f t="shared" ca="1" si="7"/>
        <v>117</v>
      </c>
      <c r="G25" s="155">
        <f t="shared" ca="1" si="7"/>
        <v>79</v>
      </c>
      <c r="I25" s="10">
        <v>22</v>
      </c>
      <c r="J25" s="149">
        <f t="shared" ca="1" si="5"/>
        <v>8</v>
      </c>
      <c r="K25" s="149">
        <f t="shared" ca="1" si="6"/>
        <v>271</v>
      </c>
    </row>
    <row r="26" spans="1:19" ht="18.75" x14ac:dyDescent="0.3">
      <c r="B26" s="36">
        <v>22</v>
      </c>
      <c r="C26" s="155">
        <f t="shared" ca="1" si="7"/>
        <v>58</v>
      </c>
      <c r="D26" s="155">
        <f t="shared" ca="1" si="7"/>
        <v>58</v>
      </c>
      <c r="E26" s="155">
        <f t="shared" ca="1" si="7"/>
        <v>32</v>
      </c>
      <c r="F26" s="155">
        <f t="shared" ca="1" si="7"/>
        <v>43</v>
      </c>
      <c r="G26" s="155">
        <f t="shared" ca="1" si="7"/>
        <v>49</v>
      </c>
      <c r="I26" s="10">
        <v>23</v>
      </c>
      <c r="J26" s="149">
        <f t="shared" ca="1" si="5"/>
        <v>4</v>
      </c>
      <c r="K26" s="149">
        <f t="shared" ca="1" si="6"/>
        <v>219</v>
      </c>
    </row>
    <row r="27" spans="1:19" ht="18.75" x14ac:dyDescent="0.3">
      <c r="B27" s="36">
        <v>23</v>
      </c>
      <c r="C27" s="155">
        <f t="shared" ca="1" si="7"/>
        <v>107</v>
      </c>
      <c r="D27" s="155">
        <f t="shared" ca="1" si="7"/>
        <v>89</v>
      </c>
      <c r="E27" s="155">
        <f t="shared" ca="1" si="7"/>
        <v>94</v>
      </c>
      <c r="F27" s="155">
        <f t="shared" ca="1" si="7"/>
        <v>90</v>
      </c>
      <c r="G27" s="155">
        <f t="shared" ca="1" si="7"/>
        <v>75</v>
      </c>
      <c r="I27" s="10">
        <v>24</v>
      </c>
      <c r="J27" s="149">
        <f t="shared" ca="1" si="5"/>
        <v>5</v>
      </c>
      <c r="K27" s="149">
        <f t="shared" ca="1" si="6"/>
        <v>238</v>
      </c>
    </row>
    <row r="28" spans="1:19" ht="18.75" x14ac:dyDescent="0.3">
      <c r="B28" s="36">
        <v>24</v>
      </c>
      <c r="C28" s="155">
        <f t="shared" ca="1" si="7"/>
        <v>112</v>
      </c>
      <c r="D28" s="155">
        <f t="shared" ca="1" si="7"/>
        <v>102</v>
      </c>
      <c r="E28" s="155">
        <f t="shared" ca="1" si="7"/>
        <v>83</v>
      </c>
      <c r="F28" s="155">
        <f t="shared" ca="1" si="7"/>
        <v>98</v>
      </c>
      <c r="G28" s="155">
        <f t="shared" ca="1" si="7"/>
        <v>95</v>
      </c>
      <c r="I28" s="10">
        <v>25</v>
      </c>
      <c r="J28" s="149">
        <f t="shared" ca="1" si="5"/>
        <v>7</v>
      </c>
      <c r="K28" s="149">
        <f t="shared" ca="1" si="6"/>
        <v>226</v>
      </c>
    </row>
    <row r="29" spans="1:19" ht="18.75" x14ac:dyDescent="0.3">
      <c r="B29" s="36">
        <v>25</v>
      </c>
      <c r="C29" s="155">
        <f t="shared" ca="1" si="7"/>
        <v>112</v>
      </c>
      <c r="D29" s="155">
        <f t="shared" ca="1" si="7"/>
        <v>119</v>
      </c>
      <c r="E29" s="155">
        <f t="shared" ca="1" si="7"/>
        <v>85</v>
      </c>
      <c r="F29" s="155">
        <f t="shared" ca="1" si="7"/>
        <v>117</v>
      </c>
      <c r="G29" s="155">
        <f t="shared" ca="1" si="7"/>
        <v>85</v>
      </c>
    </row>
    <row r="31" spans="1:19" ht="15" customHeight="1" thickBot="1" x14ac:dyDescent="0.3">
      <c r="I31" s="243" t="s">
        <v>204</v>
      </c>
      <c r="J31" s="243" t="s">
        <v>268</v>
      </c>
      <c r="K31" s="243"/>
      <c r="M31" s="243" t="s">
        <v>204</v>
      </c>
      <c r="N31" s="243" t="s">
        <v>268</v>
      </c>
      <c r="O31" s="243"/>
      <c r="Q31" s="243" t="s">
        <v>204</v>
      </c>
      <c r="R31" s="243" t="s">
        <v>268</v>
      </c>
      <c r="S31" s="243"/>
    </row>
    <row r="32" spans="1:19" ht="40.5" customHeight="1" thickTop="1" thickBot="1" x14ac:dyDescent="0.4">
      <c r="A32" s="160" t="s">
        <v>204</v>
      </c>
      <c r="B32" s="161" t="s">
        <v>269</v>
      </c>
      <c r="C32" s="161" t="s">
        <v>270</v>
      </c>
      <c r="D32" s="161" t="s">
        <v>271</v>
      </c>
      <c r="E32" s="161" t="s">
        <v>272</v>
      </c>
      <c r="F32" s="161" t="s">
        <v>273</v>
      </c>
      <c r="G32" s="161" t="s">
        <v>274</v>
      </c>
      <c r="I32" s="244"/>
      <c r="J32" s="244"/>
      <c r="K32" s="244"/>
      <c r="M32" s="244"/>
      <c r="N32" s="244"/>
      <c r="O32" s="244"/>
      <c r="Q32" s="244"/>
      <c r="R32" s="244"/>
      <c r="S32" s="244"/>
    </row>
    <row r="33" spans="1:19" ht="20.25" thickTop="1" thickBot="1" x14ac:dyDescent="0.35">
      <c r="A33" s="162">
        <v>1</v>
      </c>
      <c r="B33" s="164">
        <f t="shared" ref="B33:B57" ca="1" si="8">RANDBETWEEN(250,300)</f>
        <v>277</v>
      </c>
      <c r="C33" s="164">
        <f t="shared" ref="C33:G48" ca="1" si="9">RANDBETWEEN(250,300)</f>
        <v>264</v>
      </c>
      <c r="D33" s="164">
        <f t="shared" ca="1" si="9"/>
        <v>266</v>
      </c>
      <c r="E33" s="164">
        <f t="shared" ca="1" si="9"/>
        <v>287</v>
      </c>
      <c r="F33" s="164">
        <f t="shared" ca="1" si="9"/>
        <v>255</v>
      </c>
      <c r="G33" s="164">
        <f t="shared" ca="1" si="9"/>
        <v>280</v>
      </c>
      <c r="I33" s="10">
        <v>1</v>
      </c>
      <c r="J33" s="149">
        <f ca="1">RANDBETWEEN(20,70)</f>
        <v>40</v>
      </c>
      <c r="K33" s="149">
        <f t="shared" ref="K33:K40" ca="1" si="10">RANDBETWEEN(200,350)</f>
        <v>344</v>
      </c>
      <c r="M33" s="10">
        <v>9</v>
      </c>
      <c r="N33" s="149">
        <f ca="1">RANDBETWEEN(20,70)</f>
        <v>37</v>
      </c>
      <c r="O33" s="149">
        <f t="shared" ref="O33:O40" ca="1" si="11">RANDBETWEEN(200,350)</f>
        <v>230</v>
      </c>
      <c r="Q33" s="10">
        <v>17</v>
      </c>
      <c r="R33" s="149">
        <f ca="1">RANDBETWEEN(20,70)</f>
        <v>33</v>
      </c>
      <c r="S33" s="149">
        <f t="shared" ref="S33:S40" ca="1" si="12">RANDBETWEEN(200,350)</f>
        <v>295</v>
      </c>
    </row>
    <row r="34" spans="1:19" ht="20.25" thickTop="1" thickBot="1" x14ac:dyDescent="0.35">
      <c r="A34" s="163">
        <v>2</v>
      </c>
      <c r="B34" s="164">
        <f t="shared" ca="1" si="8"/>
        <v>284</v>
      </c>
      <c r="C34" s="164">
        <f t="shared" ca="1" si="9"/>
        <v>266</v>
      </c>
      <c r="D34" s="164">
        <f t="shared" ca="1" si="9"/>
        <v>298</v>
      </c>
      <c r="E34" s="164">
        <f t="shared" ca="1" si="9"/>
        <v>259</v>
      </c>
      <c r="F34" s="164">
        <f t="shared" ca="1" si="9"/>
        <v>262</v>
      </c>
      <c r="G34" s="164">
        <f t="shared" ca="1" si="9"/>
        <v>261</v>
      </c>
      <c r="I34" s="10">
        <v>2</v>
      </c>
      <c r="J34" s="149">
        <f t="shared" ref="J34:J40" ca="1" si="13">RANDBETWEEN(20,70)</f>
        <v>41</v>
      </c>
      <c r="K34" s="149">
        <f t="shared" ca="1" si="10"/>
        <v>338</v>
      </c>
      <c r="M34" s="10">
        <v>10</v>
      </c>
      <c r="N34" s="149">
        <f t="shared" ref="N34:N40" ca="1" si="14">RANDBETWEEN(20,70)</f>
        <v>57</v>
      </c>
      <c r="O34" s="149">
        <f t="shared" ca="1" si="11"/>
        <v>262</v>
      </c>
      <c r="Q34" s="10">
        <v>18</v>
      </c>
      <c r="R34" s="149">
        <f t="shared" ref="R34:R40" ca="1" si="15">RANDBETWEEN(20,70)</f>
        <v>26</v>
      </c>
      <c r="S34" s="149">
        <f t="shared" ca="1" si="12"/>
        <v>239</v>
      </c>
    </row>
    <row r="35" spans="1:19" ht="20.25" thickTop="1" thickBot="1" x14ac:dyDescent="0.35">
      <c r="A35" s="162">
        <v>3</v>
      </c>
      <c r="B35" s="164">
        <f t="shared" ca="1" si="8"/>
        <v>255</v>
      </c>
      <c r="C35" s="164">
        <f t="shared" ca="1" si="9"/>
        <v>283</v>
      </c>
      <c r="D35" s="164">
        <f t="shared" ca="1" si="9"/>
        <v>279</v>
      </c>
      <c r="E35" s="164">
        <f t="shared" ca="1" si="9"/>
        <v>282</v>
      </c>
      <c r="F35" s="164">
        <f t="shared" ca="1" si="9"/>
        <v>293</v>
      </c>
      <c r="G35" s="164">
        <f t="shared" ca="1" si="9"/>
        <v>299</v>
      </c>
      <c r="I35" s="10">
        <v>3</v>
      </c>
      <c r="J35" s="149">
        <f t="shared" ca="1" si="13"/>
        <v>33</v>
      </c>
      <c r="K35" s="149">
        <f t="shared" ca="1" si="10"/>
        <v>209</v>
      </c>
      <c r="M35" s="10">
        <v>11</v>
      </c>
      <c r="N35" s="149">
        <f t="shared" ca="1" si="14"/>
        <v>59</v>
      </c>
      <c r="O35" s="149">
        <f t="shared" ca="1" si="11"/>
        <v>316</v>
      </c>
      <c r="Q35" s="10">
        <v>19</v>
      </c>
      <c r="R35" s="149">
        <f t="shared" ca="1" si="15"/>
        <v>28</v>
      </c>
      <c r="S35" s="149">
        <f t="shared" ca="1" si="12"/>
        <v>257</v>
      </c>
    </row>
    <row r="36" spans="1:19" ht="20.25" thickTop="1" thickBot="1" x14ac:dyDescent="0.35">
      <c r="A36" s="163">
        <v>4</v>
      </c>
      <c r="B36" s="164">
        <f t="shared" ca="1" si="8"/>
        <v>292</v>
      </c>
      <c r="C36" s="164">
        <f t="shared" ca="1" si="9"/>
        <v>265</v>
      </c>
      <c r="D36" s="164">
        <f t="shared" ca="1" si="9"/>
        <v>267</v>
      </c>
      <c r="E36" s="164">
        <f t="shared" ca="1" si="9"/>
        <v>256</v>
      </c>
      <c r="F36" s="164">
        <f t="shared" ca="1" si="9"/>
        <v>261</v>
      </c>
      <c r="G36" s="164">
        <f t="shared" ca="1" si="9"/>
        <v>276</v>
      </c>
      <c r="I36" s="10">
        <v>4</v>
      </c>
      <c r="J36" s="149">
        <f t="shared" ca="1" si="13"/>
        <v>31</v>
      </c>
      <c r="K36" s="149">
        <f t="shared" ca="1" si="10"/>
        <v>216</v>
      </c>
      <c r="M36" s="10">
        <v>12</v>
      </c>
      <c r="N36" s="149">
        <f t="shared" ca="1" si="14"/>
        <v>38</v>
      </c>
      <c r="O36" s="149">
        <f t="shared" ca="1" si="11"/>
        <v>339</v>
      </c>
      <c r="Q36" s="10">
        <v>20</v>
      </c>
      <c r="R36" s="149">
        <f t="shared" ca="1" si="15"/>
        <v>59</v>
      </c>
      <c r="S36" s="149">
        <f t="shared" ca="1" si="12"/>
        <v>259</v>
      </c>
    </row>
    <row r="37" spans="1:19" ht="20.25" thickTop="1" thickBot="1" x14ac:dyDescent="0.35">
      <c r="A37" s="162">
        <v>5</v>
      </c>
      <c r="B37" s="164">
        <f t="shared" ca="1" si="8"/>
        <v>292</v>
      </c>
      <c r="C37" s="164">
        <f t="shared" ca="1" si="9"/>
        <v>254</v>
      </c>
      <c r="D37" s="164">
        <f t="shared" ca="1" si="9"/>
        <v>267</v>
      </c>
      <c r="E37" s="164">
        <f t="shared" ca="1" si="9"/>
        <v>254</v>
      </c>
      <c r="F37" s="164">
        <f t="shared" ca="1" si="9"/>
        <v>288</v>
      </c>
      <c r="G37" s="164">
        <f t="shared" ca="1" si="9"/>
        <v>259</v>
      </c>
      <c r="I37" s="10">
        <v>5</v>
      </c>
      <c r="J37" s="149">
        <f t="shared" ca="1" si="13"/>
        <v>35</v>
      </c>
      <c r="K37" s="149">
        <f t="shared" ca="1" si="10"/>
        <v>213</v>
      </c>
      <c r="M37" s="10">
        <v>13</v>
      </c>
      <c r="N37" s="149">
        <f t="shared" ca="1" si="14"/>
        <v>54</v>
      </c>
      <c r="O37" s="149">
        <f t="shared" ca="1" si="11"/>
        <v>336</v>
      </c>
      <c r="Q37" s="10">
        <v>21</v>
      </c>
      <c r="R37" s="149">
        <f t="shared" ca="1" si="15"/>
        <v>64</v>
      </c>
      <c r="S37" s="149">
        <f t="shared" ca="1" si="12"/>
        <v>219</v>
      </c>
    </row>
    <row r="38" spans="1:19" ht="20.25" thickTop="1" thickBot="1" x14ac:dyDescent="0.35">
      <c r="A38" s="163">
        <v>6</v>
      </c>
      <c r="B38" s="164">
        <f t="shared" ca="1" si="8"/>
        <v>252</v>
      </c>
      <c r="C38" s="164">
        <f t="shared" ca="1" si="9"/>
        <v>285</v>
      </c>
      <c r="D38" s="164">
        <f t="shared" ca="1" si="9"/>
        <v>299</v>
      </c>
      <c r="E38" s="164">
        <f t="shared" ca="1" si="9"/>
        <v>292</v>
      </c>
      <c r="F38" s="164">
        <f t="shared" ca="1" si="9"/>
        <v>252</v>
      </c>
      <c r="G38" s="164">
        <f t="shared" ca="1" si="9"/>
        <v>276</v>
      </c>
      <c r="I38" s="10">
        <v>6</v>
      </c>
      <c r="J38" s="149">
        <f t="shared" ca="1" si="13"/>
        <v>57</v>
      </c>
      <c r="K38" s="149">
        <f t="shared" ca="1" si="10"/>
        <v>323</v>
      </c>
      <c r="M38" s="10">
        <v>14</v>
      </c>
      <c r="N38" s="149">
        <f t="shared" ca="1" si="14"/>
        <v>63</v>
      </c>
      <c r="O38" s="149">
        <f t="shared" ca="1" si="11"/>
        <v>251</v>
      </c>
      <c r="Q38" s="10">
        <v>22</v>
      </c>
      <c r="R38" s="149">
        <f t="shared" ca="1" si="15"/>
        <v>32</v>
      </c>
      <c r="S38" s="149">
        <f t="shared" ca="1" si="12"/>
        <v>223</v>
      </c>
    </row>
    <row r="39" spans="1:19" ht="20.25" thickTop="1" thickBot="1" x14ac:dyDescent="0.35">
      <c r="A39" s="162">
        <v>7</v>
      </c>
      <c r="B39" s="164">
        <f t="shared" ca="1" si="8"/>
        <v>252</v>
      </c>
      <c r="C39" s="164">
        <f t="shared" ca="1" si="9"/>
        <v>294</v>
      </c>
      <c r="D39" s="164">
        <f t="shared" ca="1" si="9"/>
        <v>278</v>
      </c>
      <c r="E39" s="164">
        <f t="shared" ca="1" si="9"/>
        <v>286</v>
      </c>
      <c r="F39" s="164">
        <f t="shared" ca="1" si="9"/>
        <v>299</v>
      </c>
      <c r="G39" s="164">
        <f t="shared" ca="1" si="9"/>
        <v>281</v>
      </c>
      <c r="I39" s="10">
        <v>7</v>
      </c>
      <c r="J39" s="149">
        <f t="shared" ca="1" si="13"/>
        <v>66</v>
      </c>
      <c r="K39" s="149">
        <f t="shared" ca="1" si="10"/>
        <v>295</v>
      </c>
      <c r="M39" s="10">
        <v>15</v>
      </c>
      <c r="N39" s="149">
        <f t="shared" ca="1" si="14"/>
        <v>59</v>
      </c>
      <c r="O39" s="149">
        <f t="shared" ca="1" si="11"/>
        <v>211</v>
      </c>
      <c r="Q39" s="10">
        <v>23</v>
      </c>
      <c r="R39" s="149">
        <f t="shared" ca="1" si="15"/>
        <v>49</v>
      </c>
      <c r="S39" s="149">
        <f t="shared" ca="1" si="12"/>
        <v>210</v>
      </c>
    </row>
    <row r="40" spans="1:19" ht="20.25" thickTop="1" thickBot="1" x14ac:dyDescent="0.35">
      <c r="A40" s="163">
        <v>8</v>
      </c>
      <c r="B40" s="164">
        <f t="shared" ca="1" si="8"/>
        <v>285</v>
      </c>
      <c r="C40" s="164">
        <f t="shared" ca="1" si="9"/>
        <v>276</v>
      </c>
      <c r="D40" s="164">
        <f t="shared" ca="1" si="9"/>
        <v>276</v>
      </c>
      <c r="E40" s="164">
        <f t="shared" ca="1" si="9"/>
        <v>294</v>
      </c>
      <c r="F40" s="164">
        <f t="shared" ca="1" si="9"/>
        <v>258</v>
      </c>
      <c r="G40" s="164">
        <f t="shared" ca="1" si="9"/>
        <v>261</v>
      </c>
      <c r="I40" s="10">
        <v>8</v>
      </c>
      <c r="J40" s="149">
        <f t="shared" ca="1" si="13"/>
        <v>28</v>
      </c>
      <c r="K40" s="149">
        <f t="shared" ca="1" si="10"/>
        <v>266</v>
      </c>
      <c r="M40" s="10">
        <v>16</v>
      </c>
      <c r="N40" s="149">
        <f t="shared" ca="1" si="14"/>
        <v>41</v>
      </c>
      <c r="O40" s="149">
        <f t="shared" ca="1" si="11"/>
        <v>241</v>
      </c>
      <c r="Q40" s="10">
        <v>24</v>
      </c>
      <c r="R40" s="149">
        <f t="shared" ca="1" si="15"/>
        <v>49</v>
      </c>
      <c r="S40" s="149">
        <f t="shared" ca="1" si="12"/>
        <v>288</v>
      </c>
    </row>
    <row r="41" spans="1:19" ht="20.25" thickTop="1" thickBot="1" x14ac:dyDescent="0.35">
      <c r="A41" s="162">
        <v>9</v>
      </c>
      <c r="B41" s="164">
        <f t="shared" ca="1" si="8"/>
        <v>264</v>
      </c>
      <c r="C41" s="164">
        <f t="shared" ca="1" si="9"/>
        <v>251</v>
      </c>
      <c r="D41" s="164">
        <f t="shared" ca="1" si="9"/>
        <v>254</v>
      </c>
      <c r="E41" s="164">
        <f t="shared" ca="1" si="9"/>
        <v>279</v>
      </c>
      <c r="F41" s="164">
        <f t="shared" ca="1" si="9"/>
        <v>251</v>
      </c>
      <c r="G41" s="164">
        <f t="shared" ca="1" si="9"/>
        <v>293</v>
      </c>
    </row>
    <row r="42" spans="1:19" ht="20.25" thickTop="1" thickBot="1" x14ac:dyDescent="0.35">
      <c r="A42" s="163">
        <v>10</v>
      </c>
      <c r="B42" s="164">
        <f t="shared" ca="1" si="8"/>
        <v>258</v>
      </c>
      <c r="C42" s="164">
        <f t="shared" ca="1" si="9"/>
        <v>294</v>
      </c>
      <c r="D42" s="164">
        <f t="shared" ca="1" si="9"/>
        <v>284</v>
      </c>
      <c r="E42" s="164">
        <f t="shared" ca="1" si="9"/>
        <v>260</v>
      </c>
      <c r="F42" s="164">
        <f t="shared" ca="1" si="9"/>
        <v>255</v>
      </c>
      <c r="G42" s="164">
        <f t="shared" ca="1" si="9"/>
        <v>259</v>
      </c>
    </row>
    <row r="43" spans="1:19" ht="20.25" thickTop="1" thickBot="1" x14ac:dyDescent="0.35">
      <c r="A43" s="162">
        <v>11</v>
      </c>
      <c r="B43" s="164">
        <f t="shared" ca="1" si="8"/>
        <v>284</v>
      </c>
      <c r="C43" s="164">
        <f t="shared" ca="1" si="9"/>
        <v>261</v>
      </c>
      <c r="D43" s="164">
        <f t="shared" ca="1" si="9"/>
        <v>293</v>
      </c>
      <c r="E43" s="164">
        <f t="shared" ca="1" si="9"/>
        <v>275</v>
      </c>
      <c r="F43" s="164">
        <f t="shared" ca="1" si="9"/>
        <v>289</v>
      </c>
      <c r="G43" s="164">
        <f t="shared" ca="1" si="9"/>
        <v>284</v>
      </c>
    </row>
    <row r="44" spans="1:19" ht="20.25" thickTop="1" thickBot="1" x14ac:dyDescent="0.35">
      <c r="A44" s="163">
        <v>12</v>
      </c>
      <c r="B44" s="164">
        <f t="shared" ca="1" si="8"/>
        <v>264</v>
      </c>
      <c r="C44" s="164">
        <f t="shared" ca="1" si="9"/>
        <v>299</v>
      </c>
      <c r="D44" s="164">
        <f t="shared" ca="1" si="9"/>
        <v>272</v>
      </c>
      <c r="E44" s="164">
        <f t="shared" ca="1" si="9"/>
        <v>253</v>
      </c>
      <c r="F44" s="164">
        <f t="shared" ca="1" si="9"/>
        <v>251</v>
      </c>
      <c r="G44" s="164">
        <f t="shared" ca="1" si="9"/>
        <v>269</v>
      </c>
    </row>
    <row r="45" spans="1:19" ht="20.25" thickTop="1" thickBot="1" x14ac:dyDescent="0.35">
      <c r="A45" s="162">
        <v>13</v>
      </c>
      <c r="B45" s="164">
        <f t="shared" ca="1" si="8"/>
        <v>288</v>
      </c>
      <c r="C45" s="164">
        <f t="shared" ca="1" si="9"/>
        <v>300</v>
      </c>
      <c r="D45" s="164">
        <f t="shared" ca="1" si="9"/>
        <v>262</v>
      </c>
      <c r="E45" s="164">
        <f t="shared" ca="1" si="9"/>
        <v>275</v>
      </c>
      <c r="F45" s="164">
        <f t="shared" ca="1" si="9"/>
        <v>294</v>
      </c>
      <c r="G45" s="164">
        <f t="shared" ca="1" si="9"/>
        <v>278</v>
      </c>
    </row>
    <row r="46" spans="1:19" ht="20.25" thickTop="1" thickBot="1" x14ac:dyDescent="0.35">
      <c r="A46" s="163">
        <v>14</v>
      </c>
      <c r="B46" s="164">
        <f t="shared" ca="1" si="8"/>
        <v>282</v>
      </c>
      <c r="C46" s="164">
        <f t="shared" ca="1" si="9"/>
        <v>267</v>
      </c>
      <c r="D46" s="164">
        <f t="shared" ca="1" si="9"/>
        <v>284</v>
      </c>
      <c r="E46" s="164">
        <f t="shared" ca="1" si="9"/>
        <v>286</v>
      </c>
      <c r="F46" s="164">
        <f t="shared" ca="1" si="9"/>
        <v>268</v>
      </c>
      <c r="G46" s="164">
        <f t="shared" ca="1" si="9"/>
        <v>286</v>
      </c>
    </row>
    <row r="47" spans="1:19" ht="20.25" thickTop="1" thickBot="1" x14ac:dyDescent="0.35">
      <c r="A47" s="162">
        <v>15</v>
      </c>
      <c r="B47" s="164">
        <f t="shared" ca="1" si="8"/>
        <v>279</v>
      </c>
      <c r="C47" s="164">
        <f t="shared" ca="1" si="9"/>
        <v>290</v>
      </c>
      <c r="D47" s="164">
        <f t="shared" ca="1" si="9"/>
        <v>296</v>
      </c>
      <c r="E47" s="164">
        <f t="shared" ca="1" si="9"/>
        <v>287</v>
      </c>
      <c r="F47" s="164">
        <f t="shared" ca="1" si="9"/>
        <v>257</v>
      </c>
      <c r="G47" s="164">
        <f t="shared" ca="1" si="9"/>
        <v>280</v>
      </c>
    </row>
    <row r="48" spans="1:19" ht="20.25" thickTop="1" thickBot="1" x14ac:dyDescent="0.35">
      <c r="A48" s="163">
        <v>16</v>
      </c>
      <c r="B48" s="164">
        <f t="shared" ca="1" si="8"/>
        <v>283</v>
      </c>
      <c r="C48" s="164">
        <f t="shared" ca="1" si="9"/>
        <v>281</v>
      </c>
      <c r="D48" s="164">
        <f t="shared" ca="1" si="9"/>
        <v>290</v>
      </c>
      <c r="E48" s="164">
        <f t="shared" ca="1" si="9"/>
        <v>277</v>
      </c>
      <c r="F48" s="164">
        <f t="shared" ca="1" si="9"/>
        <v>293</v>
      </c>
      <c r="G48" s="164">
        <f t="shared" ca="1" si="9"/>
        <v>275</v>
      </c>
    </row>
    <row r="49" spans="1:7" ht="20.25" thickTop="1" thickBot="1" x14ac:dyDescent="0.35">
      <c r="A49" s="162">
        <v>17</v>
      </c>
      <c r="B49" s="164">
        <f t="shared" ca="1" si="8"/>
        <v>266</v>
      </c>
      <c r="C49" s="164">
        <f t="shared" ref="C49:G57" ca="1" si="16">RANDBETWEEN(250,300)</f>
        <v>251</v>
      </c>
      <c r="D49" s="164">
        <f t="shared" ca="1" si="16"/>
        <v>251</v>
      </c>
      <c r="E49" s="164">
        <f t="shared" ca="1" si="16"/>
        <v>251</v>
      </c>
      <c r="F49" s="164">
        <f t="shared" ca="1" si="16"/>
        <v>282</v>
      </c>
      <c r="G49" s="164">
        <f t="shared" ca="1" si="16"/>
        <v>296</v>
      </c>
    </row>
    <row r="50" spans="1:7" ht="20.25" thickTop="1" thickBot="1" x14ac:dyDescent="0.35">
      <c r="A50" s="163">
        <v>18</v>
      </c>
      <c r="B50" s="164">
        <f t="shared" ca="1" si="8"/>
        <v>251</v>
      </c>
      <c r="C50" s="164">
        <f t="shared" ca="1" si="16"/>
        <v>274</v>
      </c>
      <c r="D50" s="164">
        <f t="shared" ca="1" si="16"/>
        <v>299</v>
      </c>
      <c r="E50" s="164">
        <f t="shared" ca="1" si="16"/>
        <v>276</v>
      </c>
      <c r="F50" s="164">
        <f t="shared" ca="1" si="16"/>
        <v>258</v>
      </c>
      <c r="G50" s="164">
        <f t="shared" ca="1" si="16"/>
        <v>294</v>
      </c>
    </row>
    <row r="51" spans="1:7" ht="20.25" thickTop="1" thickBot="1" x14ac:dyDescent="0.35">
      <c r="A51" s="162">
        <v>19</v>
      </c>
      <c r="B51" s="164">
        <f t="shared" ca="1" si="8"/>
        <v>278</v>
      </c>
      <c r="C51" s="164">
        <f t="shared" ca="1" si="16"/>
        <v>293</v>
      </c>
      <c r="D51" s="164">
        <f t="shared" ca="1" si="16"/>
        <v>296</v>
      </c>
      <c r="E51" s="164">
        <f t="shared" ca="1" si="16"/>
        <v>262</v>
      </c>
      <c r="F51" s="164">
        <f t="shared" ca="1" si="16"/>
        <v>277</v>
      </c>
      <c r="G51" s="164">
        <f t="shared" ca="1" si="16"/>
        <v>269</v>
      </c>
    </row>
    <row r="52" spans="1:7" ht="20.25" thickTop="1" thickBot="1" x14ac:dyDescent="0.35">
      <c r="A52" s="163">
        <v>20</v>
      </c>
      <c r="B52" s="164">
        <f t="shared" ca="1" si="8"/>
        <v>255</v>
      </c>
      <c r="C52" s="164">
        <f t="shared" ca="1" si="16"/>
        <v>271</v>
      </c>
      <c r="D52" s="164">
        <f t="shared" ca="1" si="16"/>
        <v>289</v>
      </c>
      <c r="E52" s="164">
        <f t="shared" ca="1" si="16"/>
        <v>268</v>
      </c>
      <c r="F52" s="164">
        <f t="shared" ca="1" si="16"/>
        <v>297</v>
      </c>
      <c r="G52" s="164">
        <f t="shared" ca="1" si="16"/>
        <v>253</v>
      </c>
    </row>
    <row r="53" spans="1:7" ht="20.25" thickTop="1" thickBot="1" x14ac:dyDescent="0.35">
      <c r="A53" s="162">
        <v>21</v>
      </c>
      <c r="B53" s="164">
        <f t="shared" ca="1" si="8"/>
        <v>279</v>
      </c>
      <c r="C53" s="164">
        <f t="shared" ca="1" si="16"/>
        <v>297</v>
      </c>
      <c r="D53" s="164">
        <f t="shared" ca="1" si="16"/>
        <v>282</v>
      </c>
      <c r="E53" s="164">
        <f t="shared" ca="1" si="16"/>
        <v>268</v>
      </c>
      <c r="F53" s="164">
        <f t="shared" ca="1" si="16"/>
        <v>289</v>
      </c>
      <c r="G53" s="164">
        <f t="shared" ca="1" si="16"/>
        <v>298</v>
      </c>
    </row>
    <row r="54" spans="1:7" ht="20.25" thickTop="1" thickBot="1" x14ac:dyDescent="0.35">
      <c r="A54" s="163">
        <v>22</v>
      </c>
      <c r="B54" s="164">
        <f t="shared" ca="1" si="8"/>
        <v>289</v>
      </c>
      <c r="C54" s="164">
        <f t="shared" ca="1" si="16"/>
        <v>256</v>
      </c>
      <c r="D54" s="164">
        <f t="shared" ca="1" si="16"/>
        <v>295</v>
      </c>
      <c r="E54" s="164">
        <f t="shared" ca="1" si="16"/>
        <v>250</v>
      </c>
      <c r="F54" s="164">
        <f t="shared" ca="1" si="16"/>
        <v>300</v>
      </c>
      <c r="G54" s="164">
        <f t="shared" ca="1" si="16"/>
        <v>256</v>
      </c>
    </row>
    <row r="55" spans="1:7" ht="20.25" thickTop="1" thickBot="1" x14ac:dyDescent="0.35">
      <c r="A55" s="162">
        <v>23</v>
      </c>
      <c r="B55" s="164">
        <f t="shared" ca="1" si="8"/>
        <v>296</v>
      </c>
      <c r="C55" s="164">
        <f t="shared" ca="1" si="16"/>
        <v>264</v>
      </c>
      <c r="D55" s="164">
        <f t="shared" ca="1" si="16"/>
        <v>264</v>
      </c>
      <c r="E55" s="164">
        <f t="shared" ca="1" si="16"/>
        <v>292</v>
      </c>
      <c r="F55" s="164">
        <f t="shared" ca="1" si="16"/>
        <v>251</v>
      </c>
      <c r="G55" s="164">
        <f t="shared" ca="1" si="16"/>
        <v>259</v>
      </c>
    </row>
    <row r="56" spans="1:7" ht="20.25" thickTop="1" thickBot="1" x14ac:dyDescent="0.35">
      <c r="A56" s="163">
        <v>24</v>
      </c>
      <c r="B56" s="164">
        <f t="shared" ca="1" si="8"/>
        <v>293</v>
      </c>
      <c r="C56" s="164">
        <f t="shared" ca="1" si="16"/>
        <v>272</v>
      </c>
      <c r="D56" s="164">
        <f t="shared" ca="1" si="16"/>
        <v>293</v>
      </c>
      <c r="E56" s="164">
        <f t="shared" ca="1" si="16"/>
        <v>252</v>
      </c>
      <c r="F56" s="164">
        <f t="shared" ca="1" si="16"/>
        <v>256</v>
      </c>
      <c r="G56" s="164">
        <f t="shared" ca="1" si="16"/>
        <v>253</v>
      </c>
    </row>
    <row r="57" spans="1:7" ht="20.25" thickTop="1" thickBot="1" x14ac:dyDescent="0.35">
      <c r="A57" s="162">
        <v>25</v>
      </c>
      <c r="B57" s="164">
        <f t="shared" ca="1" si="8"/>
        <v>261</v>
      </c>
      <c r="C57" s="164">
        <f t="shared" ca="1" si="16"/>
        <v>252</v>
      </c>
      <c r="D57" s="164">
        <f t="shared" ca="1" si="16"/>
        <v>282</v>
      </c>
      <c r="E57" s="164">
        <f t="shared" ca="1" si="16"/>
        <v>263</v>
      </c>
      <c r="F57" s="164">
        <f t="shared" ca="1" si="16"/>
        <v>269</v>
      </c>
      <c r="G57" s="164">
        <f t="shared" ca="1" si="16"/>
        <v>250</v>
      </c>
    </row>
    <row r="58" spans="1:7" ht="15.75" thickTop="1" x14ac:dyDescent="0.25"/>
  </sheetData>
  <mergeCells count="21">
    <mergeCell ref="S2:S3"/>
    <mergeCell ref="B2:B4"/>
    <mergeCell ref="C2:G2"/>
    <mergeCell ref="C4:G4"/>
    <mergeCell ref="I2:I3"/>
    <mergeCell ref="J2:J3"/>
    <mergeCell ref="K2:K3"/>
    <mergeCell ref="M2:M3"/>
    <mergeCell ref="N2:N3"/>
    <mergeCell ref="O2:O3"/>
    <mergeCell ref="Q2:Q3"/>
    <mergeCell ref="R2:R3"/>
    <mergeCell ref="Q31:Q32"/>
    <mergeCell ref="R31:R32"/>
    <mergeCell ref="S31:S32"/>
    <mergeCell ref="I31:I32"/>
    <mergeCell ref="J31:J32"/>
    <mergeCell ref="K31:K32"/>
    <mergeCell ref="M31:M32"/>
    <mergeCell ref="N31:N32"/>
    <mergeCell ref="O31:O3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34817" r:id="rId3">
          <objectPr defaultSize="0" autoPict="0" r:id="rId4">
            <anchor moveWithCells="1" sizeWithCells="1">
              <from>
                <xdr:col>10</xdr:col>
                <xdr:colOff>95250</xdr:colOff>
                <xdr:row>1</xdr:row>
                <xdr:rowOff>66675</xdr:rowOff>
              </from>
              <to>
                <xdr:col>10</xdr:col>
                <xdr:colOff>733425</xdr:colOff>
                <xdr:row>2</xdr:row>
                <xdr:rowOff>180975</xdr:rowOff>
              </to>
            </anchor>
          </objectPr>
        </oleObject>
      </mc:Choice>
      <mc:Fallback>
        <oleObject progId="Equation.3" shapeId="34817" r:id="rId3"/>
      </mc:Fallback>
    </mc:AlternateContent>
    <mc:AlternateContent xmlns:mc="http://schemas.openxmlformats.org/markup-compatibility/2006">
      <mc:Choice Requires="x14">
        <oleObject progId="Equation.3" shapeId="34818" r:id="rId5">
          <objectPr defaultSize="0" autoPict="0" r:id="rId4">
            <anchor moveWithCells="1" sizeWithCells="1">
              <from>
                <xdr:col>14</xdr:col>
                <xdr:colOff>95250</xdr:colOff>
                <xdr:row>1</xdr:row>
                <xdr:rowOff>66675</xdr:rowOff>
              </from>
              <to>
                <xdr:col>15</xdr:col>
                <xdr:colOff>0</xdr:colOff>
                <xdr:row>2</xdr:row>
                <xdr:rowOff>180975</xdr:rowOff>
              </to>
            </anchor>
          </objectPr>
        </oleObject>
      </mc:Choice>
      <mc:Fallback>
        <oleObject progId="Equation.3" shapeId="34818" r:id="rId5"/>
      </mc:Fallback>
    </mc:AlternateContent>
    <mc:AlternateContent xmlns:mc="http://schemas.openxmlformats.org/markup-compatibility/2006">
      <mc:Choice Requires="x14">
        <oleObject progId="Equation.3" shapeId="34819" r:id="rId6">
          <objectPr defaultSize="0" autoPict="0" r:id="rId4">
            <anchor moveWithCells="1" sizeWithCells="1">
              <from>
                <xdr:col>18</xdr:col>
                <xdr:colOff>95250</xdr:colOff>
                <xdr:row>1</xdr:row>
                <xdr:rowOff>66675</xdr:rowOff>
              </from>
              <to>
                <xdr:col>19</xdr:col>
                <xdr:colOff>0</xdr:colOff>
                <xdr:row>2</xdr:row>
                <xdr:rowOff>180975</xdr:rowOff>
              </to>
            </anchor>
          </objectPr>
        </oleObject>
      </mc:Choice>
      <mc:Fallback>
        <oleObject progId="Equation.3" shapeId="34819" r:id="rId6"/>
      </mc:Fallback>
    </mc:AlternateContent>
    <mc:AlternateContent xmlns:mc="http://schemas.openxmlformats.org/markup-compatibility/2006">
      <mc:Choice Requires="x14">
        <oleObject progId="Equation.3" shapeId="34823" r:id="rId7">
          <objectPr defaultSize="0" autoPict="0" r:id="rId8">
            <anchor moveWithCells="1" sizeWithCells="1">
              <from>
                <xdr:col>10</xdr:col>
                <xdr:colOff>76200</xdr:colOff>
                <xdr:row>30</xdr:row>
                <xdr:rowOff>38100</xdr:rowOff>
              </from>
              <to>
                <xdr:col>10</xdr:col>
                <xdr:colOff>733425</xdr:colOff>
                <xdr:row>31</xdr:row>
                <xdr:rowOff>161925</xdr:rowOff>
              </to>
            </anchor>
          </objectPr>
        </oleObject>
      </mc:Choice>
      <mc:Fallback>
        <oleObject progId="Equation.3" shapeId="34823" r:id="rId7"/>
      </mc:Fallback>
    </mc:AlternateContent>
    <mc:AlternateContent xmlns:mc="http://schemas.openxmlformats.org/markup-compatibility/2006">
      <mc:Choice Requires="x14">
        <oleObject progId="Equation.3" shapeId="34824" r:id="rId9">
          <objectPr defaultSize="0" autoPict="0" r:id="rId8">
            <anchor moveWithCells="1" sizeWithCells="1">
              <from>
                <xdr:col>14</xdr:col>
                <xdr:colOff>28575</xdr:colOff>
                <xdr:row>30</xdr:row>
                <xdr:rowOff>85725</xdr:rowOff>
              </from>
              <to>
                <xdr:col>14</xdr:col>
                <xdr:colOff>561975</xdr:colOff>
                <xdr:row>31</xdr:row>
                <xdr:rowOff>209550</xdr:rowOff>
              </to>
            </anchor>
          </objectPr>
        </oleObject>
      </mc:Choice>
      <mc:Fallback>
        <oleObject progId="Equation.3" shapeId="34824" r:id="rId9"/>
      </mc:Fallback>
    </mc:AlternateContent>
    <mc:AlternateContent xmlns:mc="http://schemas.openxmlformats.org/markup-compatibility/2006">
      <mc:Choice Requires="x14">
        <oleObject progId="Equation.3" shapeId="34825" r:id="rId10">
          <objectPr defaultSize="0" autoPict="0" r:id="rId8">
            <anchor moveWithCells="1" sizeWithCells="1">
              <from>
                <xdr:col>18</xdr:col>
                <xdr:colOff>38100</xdr:colOff>
                <xdr:row>30</xdr:row>
                <xdr:rowOff>76200</xdr:rowOff>
              </from>
              <to>
                <xdr:col>18</xdr:col>
                <xdr:colOff>571500</xdr:colOff>
                <xdr:row>31</xdr:row>
                <xdr:rowOff>200025</xdr:rowOff>
              </to>
            </anchor>
          </objectPr>
        </oleObject>
      </mc:Choice>
      <mc:Fallback>
        <oleObject progId="Equation.3" shapeId="34825" r:id="rId10"/>
      </mc:Fallback>
    </mc:AlternateContent>
  </oleObjec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workbookViewId="0">
      <selection activeCell="F1" sqref="F1:J26"/>
    </sheetView>
  </sheetViews>
  <sheetFormatPr defaultRowHeight="15" x14ac:dyDescent="0.25"/>
  <cols>
    <col min="5" max="5" width="3.42578125" customWidth="1"/>
    <col min="10" max="10" width="10.7109375" bestFit="1" customWidth="1"/>
    <col min="11" max="11" width="3.28515625" customWidth="1"/>
  </cols>
  <sheetData>
    <row r="1" spans="1:16" ht="60.75" customHeight="1" thickTop="1" thickBot="1" x14ac:dyDescent="0.35">
      <c r="A1" s="166" t="s">
        <v>204</v>
      </c>
      <c r="B1" s="167" t="s">
        <v>275</v>
      </c>
      <c r="C1" s="168" t="s">
        <v>276</v>
      </c>
      <c r="D1" s="168" t="s">
        <v>277</v>
      </c>
      <c r="F1" s="171" t="s">
        <v>204</v>
      </c>
      <c r="G1" s="171" t="s">
        <v>276</v>
      </c>
      <c r="H1" s="171" t="s">
        <v>277</v>
      </c>
      <c r="I1" s="167" t="s">
        <v>278</v>
      </c>
      <c r="J1" s="172" t="s">
        <v>279</v>
      </c>
      <c r="L1" s="171" t="s">
        <v>204</v>
      </c>
      <c r="M1" s="171" t="s">
        <v>276</v>
      </c>
      <c r="N1" s="171" t="s">
        <v>277</v>
      </c>
      <c r="O1" s="167" t="s">
        <v>278</v>
      </c>
      <c r="P1" s="172" t="s">
        <v>279</v>
      </c>
    </row>
    <row r="2" spans="1:16" ht="20.25" thickTop="1" thickBot="1" x14ac:dyDescent="0.35">
      <c r="A2" s="162">
        <v>1</v>
      </c>
      <c r="B2" s="169">
        <f ca="1">0.17*RAND()+0.8</f>
        <v>0.95962960355126392</v>
      </c>
      <c r="C2" s="164">
        <f ca="1">RANDBETWEEN(250,360)</f>
        <v>260</v>
      </c>
      <c r="D2" s="164">
        <f ca="1">RANDBETWEEN(66,99)</f>
        <v>86</v>
      </c>
      <c r="F2" s="162">
        <v>1</v>
      </c>
      <c r="G2" s="164">
        <f ca="1">RANDBETWEEN(800,1200)</f>
        <v>910</v>
      </c>
      <c r="H2" s="164">
        <f ca="1">RANDBETWEEN(250,350)</f>
        <v>299</v>
      </c>
      <c r="I2" s="169">
        <f ca="1">0.05*RAND()+0.008</f>
        <v>2.8199850344197613E-2</v>
      </c>
      <c r="J2" s="169">
        <f ca="1">0.12*RAND()+0.85</f>
        <v>0.92787184310442528</v>
      </c>
      <c r="L2" s="163">
        <v>14</v>
      </c>
      <c r="M2" s="164">
        <f t="shared" ref="M2:M11" ca="1" si="0">RANDBETWEEN(150,260)</f>
        <v>162</v>
      </c>
      <c r="N2" s="164">
        <f t="shared" ref="N2:N11" ca="1" si="1">RANDBETWEEN(400,600)</f>
        <v>467</v>
      </c>
      <c r="O2" s="169">
        <f t="shared" ref="O2:O11" ca="1" si="2">0.02*RAND()+0.02</f>
        <v>2.4365286968759815E-2</v>
      </c>
      <c r="P2" s="169">
        <f t="shared" ref="P2:P11" ca="1" si="3">0.12*RAND()+0.85</f>
        <v>0.88051317906720405</v>
      </c>
    </row>
    <row r="3" spans="1:16" ht="20.25" thickTop="1" thickBot="1" x14ac:dyDescent="0.35">
      <c r="A3" s="163">
        <v>2</v>
      </c>
      <c r="B3" s="169">
        <f t="shared" ref="B3:B26" ca="1" si="4">0.17*RAND()+0.8</f>
        <v>0.84091841418725655</v>
      </c>
      <c r="C3" s="164">
        <f t="shared" ref="C3:C26" ca="1" si="5">RANDBETWEEN(250,360)</f>
        <v>331</v>
      </c>
      <c r="D3" s="164">
        <f t="shared" ref="D3:D26" ca="1" si="6">RANDBETWEEN(66,99)</f>
        <v>88</v>
      </c>
      <c r="F3" s="163">
        <v>2</v>
      </c>
      <c r="G3" s="164">
        <f t="shared" ref="G3:G26" ca="1" si="7">RANDBETWEEN(150,260)</f>
        <v>206</v>
      </c>
      <c r="H3" s="164">
        <f t="shared" ref="H3:H26" ca="1" si="8">RANDBETWEEN(400,600)</f>
        <v>543</v>
      </c>
      <c r="I3" s="169">
        <f t="shared" ref="I3:I26" ca="1" si="9">0.02*RAND()+0.02</f>
        <v>3.3675575998265553E-2</v>
      </c>
      <c r="J3" s="169">
        <f t="shared" ref="J3:J26" ca="1" si="10">0.12*RAND()+0.85</f>
        <v>0.88958229742885042</v>
      </c>
      <c r="L3" s="162">
        <v>15</v>
      </c>
      <c r="M3" s="164">
        <f t="shared" ca="1" si="0"/>
        <v>235</v>
      </c>
      <c r="N3" s="164">
        <f t="shared" ca="1" si="1"/>
        <v>433</v>
      </c>
      <c r="O3" s="169">
        <f t="shared" ca="1" si="2"/>
        <v>2.0018397438167208E-2</v>
      </c>
      <c r="P3" s="169">
        <f t="shared" ca="1" si="3"/>
        <v>0.85930807390570429</v>
      </c>
    </row>
    <row r="4" spans="1:16" ht="20.25" thickTop="1" thickBot="1" x14ac:dyDescent="0.35">
      <c r="A4" s="162">
        <v>3</v>
      </c>
      <c r="B4" s="169">
        <f t="shared" ca="1" si="4"/>
        <v>0.80733848696797228</v>
      </c>
      <c r="C4" s="164">
        <f t="shared" ca="1" si="5"/>
        <v>254</v>
      </c>
      <c r="D4" s="164">
        <f t="shared" ca="1" si="6"/>
        <v>69</v>
      </c>
      <c r="F4" s="162">
        <v>3</v>
      </c>
      <c r="G4" s="164">
        <f t="shared" ca="1" si="7"/>
        <v>220</v>
      </c>
      <c r="H4" s="164">
        <f t="shared" ca="1" si="8"/>
        <v>535</v>
      </c>
      <c r="I4" s="169">
        <f t="shared" ca="1" si="9"/>
        <v>2.0505120833828196E-2</v>
      </c>
      <c r="J4" s="169">
        <f t="shared" ca="1" si="10"/>
        <v>0.90750937536173204</v>
      </c>
      <c r="L4" s="163">
        <v>16</v>
      </c>
      <c r="M4" s="164">
        <f t="shared" ca="1" si="0"/>
        <v>220</v>
      </c>
      <c r="N4" s="164">
        <f t="shared" ca="1" si="1"/>
        <v>434</v>
      </c>
      <c r="O4" s="169">
        <f t="shared" ca="1" si="2"/>
        <v>2.47660092561784E-2</v>
      </c>
      <c r="P4" s="169">
        <f t="shared" ca="1" si="3"/>
        <v>0.89769839165276211</v>
      </c>
    </row>
    <row r="5" spans="1:16" ht="20.25" thickTop="1" thickBot="1" x14ac:dyDescent="0.35">
      <c r="A5" s="163">
        <v>4</v>
      </c>
      <c r="B5" s="169">
        <f t="shared" ca="1" si="4"/>
        <v>0.92193109699279818</v>
      </c>
      <c r="C5" s="164">
        <f t="shared" ca="1" si="5"/>
        <v>322</v>
      </c>
      <c r="D5" s="164">
        <f t="shared" ca="1" si="6"/>
        <v>72</v>
      </c>
      <c r="F5" s="163">
        <v>4</v>
      </c>
      <c r="G5" s="164">
        <f t="shared" ca="1" si="7"/>
        <v>198</v>
      </c>
      <c r="H5" s="164">
        <f t="shared" ca="1" si="8"/>
        <v>508</v>
      </c>
      <c r="I5" s="169">
        <f t="shared" ca="1" si="9"/>
        <v>3.8317064374388213E-2</v>
      </c>
      <c r="J5" s="169">
        <f t="shared" ca="1" si="10"/>
        <v>0.85327046567434339</v>
      </c>
      <c r="L5" s="162">
        <v>17</v>
      </c>
      <c r="M5" s="164">
        <f t="shared" ca="1" si="0"/>
        <v>189</v>
      </c>
      <c r="N5" s="164">
        <f t="shared" ca="1" si="1"/>
        <v>544</v>
      </c>
      <c r="O5" s="169">
        <f t="shared" ca="1" si="2"/>
        <v>2.8582826004977253E-2</v>
      </c>
      <c r="P5" s="169">
        <f t="shared" ca="1" si="3"/>
        <v>0.89625126486142825</v>
      </c>
    </row>
    <row r="6" spans="1:16" ht="20.25" thickTop="1" thickBot="1" x14ac:dyDescent="0.35">
      <c r="A6" s="162">
        <v>5</v>
      </c>
      <c r="B6" s="169">
        <f t="shared" ca="1" si="4"/>
        <v>0.82807081513353209</v>
      </c>
      <c r="C6" s="164">
        <f t="shared" ca="1" si="5"/>
        <v>294</v>
      </c>
      <c r="D6" s="164">
        <f t="shared" ca="1" si="6"/>
        <v>73</v>
      </c>
      <c r="F6" s="162">
        <v>5</v>
      </c>
      <c r="G6" s="164">
        <f t="shared" ca="1" si="7"/>
        <v>228</v>
      </c>
      <c r="H6" s="164">
        <f t="shared" ca="1" si="8"/>
        <v>575</v>
      </c>
      <c r="I6" s="169">
        <f t="shared" ca="1" si="9"/>
        <v>3.4097741811646202E-2</v>
      </c>
      <c r="J6" s="169">
        <f t="shared" ca="1" si="10"/>
        <v>0.91788822612020227</v>
      </c>
      <c r="L6" s="163">
        <v>18</v>
      </c>
      <c r="M6" s="164">
        <f t="shared" ca="1" si="0"/>
        <v>201</v>
      </c>
      <c r="N6" s="164">
        <f t="shared" ca="1" si="1"/>
        <v>476</v>
      </c>
      <c r="O6" s="169">
        <f t="shared" ca="1" si="2"/>
        <v>3.0906267222322894E-2</v>
      </c>
      <c r="P6" s="169">
        <f t="shared" ca="1" si="3"/>
        <v>0.93530663689459947</v>
      </c>
    </row>
    <row r="7" spans="1:16" ht="20.25" thickTop="1" thickBot="1" x14ac:dyDescent="0.35">
      <c r="A7" s="163">
        <v>6</v>
      </c>
      <c r="B7" s="169">
        <f t="shared" ca="1" si="4"/>
        <v>0.96174005521429318</v>
      </c>
      <c r="C7" s="164">
        <f t="shared" ca="1" si="5"/>
        <v>331</v>
      </c>
      <c r="D7" s="164">
        <f t="shared" ca="1" si="6"/>
        <v>77</v>
      </c>
      <c r="F7" s="163">
        <v>6</v>
      </c>
      <c r="G7" s="164">
        <f t="shared" ca="1" si="7"/>
        <v>220</v>
      </c>
      <c r="H7" s="164">
        <f t="shared" ca="1" si="8"/>
        <v>577</v>
      </c>
      <c r="I7" s="169">
        <f t="shared" ca="1" si="9"/>
        <v>2.1292279628262151E-2</v>
      </c>
      <c r="J7" s="169">
        <f t="shared" ca="1" si="10"/>
        <v>0.92162415418276322</v>
      </c>
      <c r="L7" s="162">
        <v>19</v>
      </c>
      <c r="M7" s="164">
        <f t="shared" ca="1" si="0"/>
        <v>213</v>
      </c>
      <c r="N7" s="164">
        <f t="shared" ca="1" si="1"/>
        <v>521</v>
      </c>
      <c r="O7" s="169">
        <f t="shared" ca="1" si="2"/>
        <v>3.5564330760637274E-2</v>
      </c>
      <c r="P7" s="169">
        <f t="shared" ca="1" si="3"/>
        <v>0.90264555568320415</v>
      </c>
    </row>
    <row r="8" spans="1:16" ht="20.25" thickTop="1" thickBot="1" x14ac:dyDescent="0.35">
      <c r="A8" s="162">
        <v>7</v>
      </c>
      <c r="B8" s="169">
        <f t="shared" ca="1" si="4"/>
        <v>0.85050639088337199</v>
      </c>
      <c r="C8" s="164">
        <f t="shared" ca="1" si="5"/>
        <v>268</v>
      </c>
      <c r="D8" s="164">
        <f t="shared" ca="1" si="6"/>
        <v>77</v>
      </c>
      <c r="F8" s="162">
        <v>7</v>
      </c>
      <c r="G8" s="164">
        <f t="shared" ca="1" si="7"/>
        <v>175</v>
      </c>
      <c r="H8" s="164">
        <f t="shared" ca="1" si="8"/>
        <v>540</v>
      </c>
      <c r="I8" s="169">
        <f t="shared" ca="1" si="9"/>
        <v>3.7589151318704439E-2</v>
      </c>
      <c r="J8" s="169">
        <f t="shared" ca="1" si="10"/>
        <v>0.9624254501798305</v>
      </c>
      <c r="L8" s="163">
        <v>20</v>
      </c>
      <c r="M8" s="164">
        <f t="shared" ca="1" si="0"/>
        <v>172</v>
      </c>
      <c r="N8" s="164">
        <f t="shared" ca="1" si="1"/>
        <v>423</v>
      </c>
      <c r="O8" s="169">
        <f t="shared" ca="1" si="2"/>
        <v>3.5156996614618026E-2</v>
      </c>
      <c r="P8" s="169">
        <f t="shared" ca="1" si="3"/>
        <v>0.91918893366364562</v>
      </c>
    </row>
    <row r="9" spans="1:16" ht="20.25" thickTop="1" thickBot="1" x14ac:dyDescent="0.35">
      <c r="A9" s="163">
        <v>8</v>
      </c>
      <c r="B9" s="169">
        <f t="shared" ca="1" si="4"/>
        <v>0.95702388981510389</v>
      </c>
      <c r="C9" s="164">
        <f t="shared" ca="1" si="5"/>
        <v>301</v>
      </c>
      <c r="D9" s="164">
        <f t="shared" ca="1" si="6"/>
        <v>85</v>
      </c>
      <c r="F9" s="163">
        <v>8</v>
      </c>
      <c r="G9" s="164">
        <f t="shared" ca="1" si="7"/>
        <v>260</v>
      </c>
      <c r="H9" s="164">
        <f t="shared" ca="1" si="8"/>
        <v>482</v>
      </c>
      <c r="I9" s="169">
        <f t="shared" ca="1" si="9"/>
        <v>2.5791812320441226E-2</v>
      </c>
      <c r="J9" s="169">
        <f t="shared" ca="1" si="10"/>
        <v>0.8866175077682843</v>
      </c>
      <c r="L9" s="162">
        <v>21</v>
      </c>
      <c r="M9" s="164">
        <f t="shared" ca="1" si="0"/>
        <v>232</v>
      </c>
      <c r="N9" s="164">
        <f t="shared" ca="1" si="1"/>
        <v>599</v>
      </c>
      <c r="O9" s="169">
        <f t="shared" ca="1" si="2"/>
        <v>3.491641722451954E-2</v>
      </c>
      <c r="P9" s="169">
        <f t="shared" ca="1" si="3"/>
        <v>0.93980594840632425</v>
      </c>
    </row>
    <row r="10" spans="1:16" ht="20.25" thickTop="1" thickBot="1" x14ac:dyDescent="0.35">
      <c r="A10" s="162">
        <v>9</v>
      </c>
      <c r="B10" s="169">
        <f t="shared" ca="1" si="4"/>
        <v>0.83316636399721489</v>
      </c>
      <c r="C10" s="164">
        <f t="shared" ca="1" si="5"/>
        <v>320</v>
      </c>
      <c r="D10" s="164">
        <f t="shared" ca="1" si="6"/>
        <v>71</v>
      </c>
      <c r="F10" s="162">
        <v>9</v>
      </c>
      <c r="G10" s="164">
        <f t="shared" ca="1" si="7"/>
        <v>174</v>
      </c>
      <c r="H10" s="164">
        <f t="shared" ca="1" si="8"/>
        <v>566</v>
      </c>
      <c r="I10" s="169">
        <f t="shared" ca="1" si="9"/>
        <v>3.7591816136466991E-2</v>
      </c>
      <c r="J10" s="169">
        <f t="shared" ca="1" si="10"/>
        <v>0.88885058736615097</v>
      </c>
      <c r="L10" s="163">
        <v>22</v>
      </c>
      <c r="M10" s="164">
        <f t="shared" ca="1" si="0"/>
        <v>187</v>
      </c>
      <c r="N10" s="164">
        <f t="shared" ca="1" si="1"/>
        <v>451</v>
      </c>
      <c r="O10" s="169">
        <f t="shared" ca="1" si="2"/>
        <v>3.1067271413016781E-2</v>
      </c>
      <c r="P10" s="169">
        <f t="shared" ca="1" si="3"/>
        <v>0.86721779550098976</v>
      </c>
    </row>
    <row r="11" spans="1:16" ht="20.25" thickTop="1" thickBot="1" x14ac:dyDescent="0.35">
      <c r="A11" s="163">
        <v>10</v>
      </c>
      <c r="B11" s="169">
        <f t="shared" ca="1" si="4"/>
        <v>0.89225803502155254</v>
      </c>
      <c r="C11" s="164">
        <f t="shared" ca="1" si="5"/>
        <v>300</v>
      </c>
      <c r="D11" s="164">
        <f t="shared" ca="1" si="6"/>
        <v>81</v>
      </c>
      <c r="F11" s="163">
        <v>10</v>
      </c>
      <c r="G11" s="164">
        <f t="shared" ca="1" si="7"/>
        <v>239</v>
      </c>
      <c r="H11" s="164">
        <f t="shared" ca="1" si="8"/>
        <v>527</v>
      </c>
      <c r="I11" s="169">
        <f t="shared" ca="1" si="9"/>
        <v>2.6768503669422516E-2</v>
      </c>
      <c r="J11" s="169">
        <f t="shared" ca="1" si="10"/>
        <v>0.85290728913773939</v>
      </c>
      <c r="L11" s="162">
        <v>23</v>
      </c>
      <c r="M11" s="164">
        <f t="shared" ca="1" si="0"/>
        <v>162</v>
      </c>
      <c r="N11" s="164">
        <f t="shared" ca="1" si="1"/>
        <v>530</v>
      </c>
      <c r="O11" s="169">
        <f t="shared" ca="1" si="2"/>
        <v>3.965782262652922E-2</v>
      </c>
      <c r="P11" s="169">
        <f t="shared" ca="1" si="3"/>
        <v>0.92447487822026342</v>
      </c>
    </row>
    <row r="12" spans="1:16" ht="20.25" thickTop="1" thickBot="1" x14ac:dyDescent="0.35">
      <c r="A12" s="162">
        <v>11</v>
      </c>
      <c r="B12" s="169">
        <f t="shared" ca="1" si="4"/>
        <v>0.94757661077532807</v>
      </c>
      <c r="C12" s="164">
        <f t="shared" ca="1" si="5"/>
        <v>359</v>
      </c>
      <c r="D12" s="164">
        <f t="shared" ca="1" si="6"/>
        <v>69</v>
      </c>
      <c r="F12" s="162">
        <v>11</v>
      </c>
      <c r="G12" s="164">
        <f t="shared" ca="1" si="7"/>
        <v>258</v>
      </c>
      <c r="H12" s="164">
        <f t="shared" ca="1" si="8"/>
        <v>595</v>
      </c>
      <c r="I12" s="169">
        <f t="shared" ca="1" si="9"/>
        <v>2.7232660483891148E-2</v>
      </c>
      <c r="J12" s="169">
        <f t="shared" ca="1" si="10"/>
        <v>0.96944522837954339</v>
      </c>
      <c r="L12" s="163">
        <v>24</v>
      </c>
      <c r="M12" s="164">
        <f ca="1">RANDBETWEEN(150,260)</f>
        <v>162</v>
      </c>
      <c r="N12" s="164">
        <f ca="1">RANDBETWEEN(400,600)</f>
        <v>507</v>
      </c>
      <c r="O12" s="169">
        <f ca="1">0.02*RAND()+0.02</f>
        <v>3.2926906949239568E-2</v>
      </c>
      <c r="P12" s="169">
        <f ca="1">0.12*RAND()+0.85</f>
        <v>0.91464170022047464</v>
      </c>
    </row>
    <row r="13" spans="1:16" ht="20.25" thickTop="1" thickBot="1" x14ac:dyDescent="0.35">
      <c r="A13" s="163">
        <v>12</v>
      </c>
      <c r="B13" s="169">
        <f t="shared" ca="1" si="4"/>
        <v>0.87985749158264726</v>
      </c>
      <c r="C13" s="164">
        <f t="shared" ca="1" si="5"/>
        <v>265</v>
      </c>
      <c r="D13" s="164">
        <f t="shared" ca="1" si="6"/>
        <v>87</v>
      </c>
      <c r="F13" s="163">
        <v>12</v>
      </c>
      <c r="G13" s="164">
        <f t="shared" ca="1" si="7"/>
        <v>175</v>
      </c>
      <c r="H13" s="164">
        <f t="shared" ca="1" si="8"/>
        <v>573</v>
      </c>
      <c r="I13" s="169">
        <f t="shared" ca="1" si="9"/>
        <v>2.3447073767942413E-2</v>
      </c>
      <c r="J13" s="169">
        <f t="shared" ca="1" si="10"/>
        <v>0.90864762882460126</v>
      </c>
      <c r="L13" s="162">
        <v>25</v>
      </c>
      <c r="M13" s="164">
        <f ca="1">RANDBETWEEN(150,260)</f>
        <v>205</v>
      </c>
      <c r="N13" s="164">
        <f ca="1">RANDBETWEEN(400,600)</f>
        <v>543</v>
      </c>
      <c r="O13" s="169">
        <f ca="1">0.02*RAND()+0.02</f>
        <v>2.2829971549068333E-2</v>
      </c>
      <c r="P13" s="169">
        <f ca="1">0.12*RAND()+0.85</f>
        <v>0.95434472190087449</v>
      </c>
    </row>
    <row r="14" spans="1:16" ht="20.25" thickTop="1" thickBot="1" x14ac:dyDescent="0.35">
      <c r="A14" s="162">
        <v>13</v>
      </c>
      <c r="B14" s="169">
        <f t="shared" ca="1" si="4"/>
        <v>0.8976128209226637</v>
      </c>
      <c r="C14" s="164">
        <f t="shared" ca="1" si="5"/>
        <v>270</v>
      </c>
      <c r="D14" s="164">
        <f t="shared" ca="1" si="6"/>
        <v>79</v>
      </c>
      <c r="F14" s="162">
        <v>13</v>
      </c>
      <c r="G14" s="164">
        <f t="shared" ca="1" si="7"/>
        <v>216</v>
      </c>
      <c r="H14" s="164">
        <f t="shared" ca="1" si="8"/>
        <v>510</v>
      </c>
      <c r="I14" s="169">
        <f t="shared" ca="1" si="9"/>
        <v>2.4574076966578789E-2</v>
      </c>
      <c r="J14" s="169">
        <f t="shared" ca="1" si="10"/>
        <v>0.8766964794792057</v>
      </c>
      <c r="L14" s="163">
        <v>26</v>
      </c>
      <c r="M14" s="164">
        <f ca="1">RANDBETWEEN(150,260)</f>
        <v>205</v>
      </c>
      <c r="N14" s="164">
        <f ca="1">RANDBETWEEN(400,600)</f>
        <v>469</v>
      </c>
      <c r="O14" s="169">
        <f ca="1">0.02*RAND()+0.02</f>
        <v>3.6304744939576312E-2</v>
      </c>
      <c r="P14" s="169">
        <f ca="1">0.12*RAND()+0.85</f>
        <v>0.88806445204458384</v>
      </c>
    </row>
    <row r="15" spans="1:16" ht="20.25" thickTop="1" thickBot="1" x14ac:dyDescent="0.35">
      <c r="A15" s="163">
        <v>14</v>
      </c>
      <c r="B15" s="169">
        <f t="shared" ca="1" si="4"/>
        <v>0.92263658760827871</v>
      </c>
      <c r="C15" s="164">
        <f t="shared" ca="1" si="5"/>
        <v>300</v>
      </c>
      <c r="D15" s="164">
        <f t="shared" ca="1" si="6"/>
        <v>94</v>
      </c>
      <c r="F15" s="163">
        <v>14</v>
      </c>
      <c r="G15" s="164">
        <f t="shared" ca="1" si="7"/>
        <v>208</v>
      </c>
      <c r="H15" s="164">
        <f t="shared" ca="1" si="8"/>
        <v>508</v>
      </c>
      <c r="I15" s="169">
        <f t="shared" ca="1" si="9"/>
        <v>3.6622464923847034E-2</v>
      </c>
      <c r="J15" s="169">
        <f t="shared" ca="1" si="10"/>
        <v>0.94616639913774114</v>
      </c>
    </row>
    <row r="16" spans="1:16" ht="20.25" thickTop="1" thickBot="1" x14ac:dyDescent="0.35">
      <c r="A16" s="162">
        <v>15</v>
      </c>
      <c r="B16" s="169">
        <f t="shared" ca="1" si="4"/>
        <v>0.88756256240219777</v>
      </c>
      <c r="C16" s="164">
        <f t="shared" ca="1" si="5"/>
        <v>283</v>
      </c>
      <c r="D16" s="164">
        <f t="shared" ca="1" si="6"/>
        <v>94</v>
      </c>
      <c r="F16" s="162">
        <v>15</v>
      </c>
      <c r="G16" s="164">
        <f t="shared" ca="1" si="7"/>
        <v>240</v>
      </c>
      <c r="H16" s="164">
        <f t="shared" ca="1" si="8"/>
        <v>565</v>
      </c>
      <c r="I16" s="169">
        <f t="shared" ca="1" si="9"/>
        <v>3.3168987608362052E-2</v>
      </c>
      <c r="J16" s="169">
        <f t="shared" ca="1" si="10"/>
        <v>0.94335911449352217</v>
      </c>
    </row>
    <row r="17" spans="1:10" ht="20.25" thickTop="1" thickBot="1" x14ac:dyDescent="0.35">
      <c r="A17" s="163">
        <v>16</v>
      </c>
      <c r="B17" s="169">
        <f t="shared" ca="1" si="4"/>
        <v>0.84114007564144877</v>
      </c>
      <c r="C17" s="164">
        <f t="shared" ca="1" si="5"/>
        <v>339</v>
      </c>
      <c r="D17" s="164">
        <f t="shared" ca="1" si="6"/>
        <v>87</v>
      </c>
      <c r="F17" s="163">
        <v>16</v>
      </c>
      <c r="G17" s="164">
        <f t="shared" ca="1" si="7"/>
        <v>154</v>
      </c>
      <c r="H17" s="164">
        <f t="shared" ca="1" si="8"/>
        <v>426</v>
      </c>
      <c r="I17" s="169">
        <f t="shared" ca="1" si="9"/>
        <v>2.4743107800687777E-2</v>
      </c>
      <c r="J17" s="169">
        <f t="shared" ca="1" si="10"/>
        <v>0.92637740566983229</v>
      </c>
    </row>
    <row r="18" spans="1:10" ht="20.25" thickTop="1" thickBot="1" x14ac:dyDescent="0.35">
      <c r="A18" s="162">
        <v>17</v>
      </c>
      <c r="B18" s="169">
        <f t="shared" ca="1" si="4"/>
        <v>0.94974762979077376</v>
      </c>
      <c r="C18" s="164">
        <f t="shared" ca="1" si="5"/>
        <v>332</v>
      </c>
      <c r="D18" s="164">
        <f t="shared" ca="1" si="6"/>
        <v>68</v>
      </c>
      <c r="F18" s="162">
        <v>17</v>
      </c>
      <c r="G18" s="164">
        <f t="shared" ca="1" si="7"/>
        <v>197</v>
      </c>
      <c r="H18" s="164">
        <f t="shared" ca="1" si="8"/>
        <v>522</v>
      </c>
      <c r="I18" s="169">
        <f t="shared" ca="1" si="9"/>
        <v>3.5281528318798216E-2</v>
      </c>
      <c r="J18" s="169">
        <f t="shared" ca="1" si="10"/>
        <v>0.93605799883676355</v>
      </c>
    </row>
    <row r="19" spans="1:10" ht="20.25" thickTop="1" thickBot="1" x14ac:dyDescent="0.35">
      <c r="A19" s="163">
        <v>18</v>
      </c>
      <c r="B19" s="169">
        <f t="shared" ca="1" si="4"/>
        <v>0.95883289976453678</v>
      </c>
      <c r="C19" s="164">
        <f t="shared" ca="1" si="5"/>
        <v>339</v>
      </c>
      <c r="D19" s="164">
        <f t="shared" ca="1" si="6"/>
        <v>85</v>
      </c>
      <c r="F19" s="163">
        <v>18</v>
      </c>
      <c r="G19" s="164">
        <f t="shared" ca="1" si="7"/>
        <v>199</v>
      </c>
      <c r="H19" s="164">
        <f t="shared" ca="1" si="8"/>
        <v>459</v>
      </c>
      <c r="I19" s="169">
        <f t="shared" ca="1" si="9"/>
        <v>2.5755686568168675E-2</v>
      </c>
      <c r="J19" s="169">
        <f t="shared" ca="1" si="10"/>
        <v>0.87262579358784698</v>
      </c>
    </row>
    <row r="20" spans="1:10" ht="20.25" thickTop="1" thickBot="1" x14ac:dyDescent="0.35">
      <c r="A20" s="162">
        <v>19</v>
      </c>
      <c r="B20" s="169">
        <f t="shared" ca="1" si="4"/>
        <v>0.83898598902170685</v>
      </c>
      <c r="C20" s="164">
        <f t="shared" ca="1" si="5"/>
        <v>309</v>
      </c>
      <c r="D20" s="164">
        <f t="shared" ca="1" si="6"/>
        <v>70</v>
      </c>
      <c r="F20" s="162">
        <v>19</v>
      </c>
      <c r="G20" s="164">
        <f t="shared" ca="1" si="7"/>
        <v>217</v>
      </c>
      <c r="H20" s="164">
        <f t="shared" ca="1" si="8"/>
        <v>494</v>
      </c>
      <c r="I20" s="169">
        <f t="shared" ca="1" si="9"/>
        <v>3.9556620231063502E-2</v>
      </c>
      <c r="J20" s="169">
        <f t="shared" ca="1" si="10"/>
        <v>0.96201533971005793</v>
      </c>
    </row>
    <row r="21" spans="1:10" ht="20.25" thickTop="1" thickBot="1" x14ac:dyDescent="0.35">
      <c r="A21" s="163">
        <v>20</v>
      </c>
      <c r="B21" s="169">
        <f t="shared" ca="1" si="4"/>
        <v>0.8740726676736682</v>
      </c>
      <c r="C21" s="164">
        <f t="shared" ca="1" si="5"/>
        <v>317</v>
      </c>
      <c r="D21" s="164">
        <f t="shared" ca="1" si="6"/>
        <v>89</v>
      </c>
      <c r="F21" s="163">
        <v>20</v>
      </c>
      <c r="G21" s="164">
        <f t="shared" ca="1" si="7"/>
        <v>254</v>
      </c>
      <c r="H21" s="164">
        <f t="shared" ca="1" si="8"/>
        <v>479</v>
      </c>
      <c r="I21" s="169">
        <f t="shared" ca="1" si="9"/>
        <v>2.9541610248738769E-2</v>
      </c>
      <c r="J21" s="169">
        <f t="shared" ca="1" si="10"/>
        <v>0.92401005225412214</v>
      </c>
    </row>
    <row r="22" spans="1:10" ht="20.25" thickTop="1" thickBot="1" x14ac:dyDescent="0.35">
      <c r="A22" s="162">
        <v>21</v>
      </c>
      <c r="B22" s="169">
        <f t="shared" ca="1" si="4"/>
        <v>0.80686072554407684</v>
      </c>
      <c r="C22" s="164">
        <f t="shared" ca="1" si="5"/>
        <v>285</v>
      </c>
      <c r="D22" s="164">
        <f t="shared" ca="1" si="6"/>
        <v>80</v>
      </c>
      <c r="F22" s="162">
        <v>21</v>
      </c>
      <c r="G22" s="164">
        <f t="shared" ca="1" si="7"/>
        <v>182</v>
      </c>
      <c r="H22" s="164">
        <f t="shared" ca="1" si="8"/>
        <v>515</v>
      </c>
      <c r="I22" s="169">
        <f t="shared" ca="1" si="9"/>
        <v>3.9981162412705371E-2</v>
      </c>
      <c r="J22" s="169">
        <f t="shared" ca="1" si="10"/>
        <v>0.94807563117896732</v>
      </c>
    </row>
    <row r="23" spans="1:10" ht="20.25" thickTop="1" thickBot="1" x14ac:dyDescent="0.35">
      <c r="A23" s="163">
        <v>22</v>
      </c>
      <c r="B23" s="169">
        <f t="shared" ca="1" si="4"/>
        <v>0.88266587994444012</v>
      </c>
      <c r="C23" s="164">
        <f t="shared" ca="1" si="5"/>
        <v>258</v>
      </c>
      <c r="D23" s="164">
        <f t="shared" ca="1" si="6"/>
        <v>81</v>
      </c>
      <c r="F23" s="163">
        <v>22</v>
      </c>
      <c r="G23" s="164">
        <f t="shared" ca="1" si="7"/>
        <v>196</v>
      </c>
      <c r="H23" s="164">
        <f t="shared" ca="1" si="8"/>
        <v>499</v>
      </c>
      <c r="I23" s="169">
        <f t="shared" ca="1" si="9"/>
        <v>3.6205037247980999E-2</v>
      </c>
      <c r="J23" s="169">
        <f t="shared" ca="1" si="10"/>
        <v>0.9665344478705753</v>
      </c>
    </row>
    <row r="24" spans="1:10" ht="20.25" thickTop="1" thickBot="1" x14ac:dyDescent="0.35">
      <c r="A24" s="162">
        <v>23</v>
      </c>
      <c r="B24" s="169">
        <f t="shared" ca="1" si="4"/>
        <v>0.83239058582032932</v>
      </c>
      <c r="C24" s="164">
        <f t="shared" ca="1" si="5"/>
        <v>331</v>
      </c>
      <c r="D24" s="164">
        <f t="shared" ca="1" si="6"/>
        <v>96</v>
      </c>
      <c r="F24" s="162">
        <v>23</v>
      </c>
      <c r="G24" s="164">
        <f t="shared" ca="1" si="7"/>
        <v>203</v>
      </c>
      <c r="H24" s="164">
        <f t="shared" ca="1" si="8"/>
        <v>484</v>
      </c>
      <c r="I24" s="169">
        <f t="shared" ca="1" si="9"/>
        <v>2.9167908016665793E-2</v>
      </c>
      <c r="J24" s="169">
        <f t="shared" ca="1" si="10"/>
        <v>0.89361649300959445</v>
      </c>
    </row>
    <row r="25" spans="1:10" ht="20.25" thickTop="1" thickBot="1" x14ac:dyDescent="0.35">
      <c r="A25" s="163">
        <v>24</v>
      </c>
      <c r="B25" s="169">
        <f t="shared" ca="1" si="4"/>
        <v>0.96382203604463501</v>
      </c>
      <c r="C25" s="164">
        <f t="shared" ca="1" si="5"/>
        <v>265</v>
      </c>
      <c r="D25" s="164">
        <f t="shared" ca="1" si="6"/>
        <v>81</v>
      </c>
      <c r="F25" s="163">
        <v>24</v>
      </c>
      <c r="G25" s="164">
        <f t="shared" ca="1" si="7"/>
        <v>213</v>
      </c>
      <c r="H25" s="164">
        <f t="shared" ca="1" si="8"/>
        <v>522</v>
      </c>
      <c r="I25" s="169">
        <f t="shared" ca="1" si="9"/>
        <v>3.1418778356509823E-2</v>
      </c>
      <c r="J25" s="169">
        <f t="shared" ca="1" si="10"/>
        <v>0.87396074251523648</v>
      </c>
    </row>
    <row r="26" spans="1:10" ht="20.25" thickTop="1" thickBot="1" x14ac:dyDescent="0.35">
      <c r="A26" s="162">
        <v>25</v>
      </c>
      <c r="B26" s="169">
        <f t="shared" ca="1" si="4"/>
        <v>0.96358741053308294</v>
      </c>
      <c r="C26" s="164">
        <f t="shared" ca="1" si="5"/>
        <v>256</v>
      </c>
      <c r="D26" s="164">
        <f t="shared" ca="1" si="6"/>
        <v>95</v>
      </c>
      <c r="F26" s="162">
        <v>25</v>
      </c>
      <c r="G26" s="164">
        <f t="shared" ca="1" si="7"/>
        <v>259</v>
      </c>
      <c r="H26" s="164">
        <f t="shared" ca="1" si="8"/>
        <v>596</v>
      </c>
      <c r="I26" s="169">
        <f t="shared" ca="1" si="9"/>
        <v>3.0614498780649233E-2</v>
      </c>
      <c r="J26" s="169">
        <f t="shared" ca="1" si="10"/>
        <v>0.96091717481341987</v>
      </c>
    </row>
    <row r="27" spans="1:10" ht="15.75" thickTop="1" x14ac:dyDescent="0.25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W88"/>
  <sheetViews>
    <sheetView topLeftCell="G40" workbookViewId="0">
      <selection activeCell="G32" sqref="G32:O59"/>
    </sheetView>
  </sheetViews>
  <sheetFormatPr defaultRowHeight="15" x14ac:dyDescent="0.25"/>
  <cols>
    <col min="3" max="3" width="10.5703125" customWidth="1"/>
    <col min="4" max="6" width="16.28515625" bestFit="1" customWidth="1"/>
    <col min="7" max="7" width="13.28515625" bestFit="1" customWidth="1"/>
    <col min="8" max="8" width="11.7109375" customWidth="1"/>
    <col min="9" max="9" width="19.5703125" customWidth="1"/>
    <col min="10" max="10" width="17.42578125" customWidth="1"/>
    <col min="11" max="11" width="19.7109375" customWidth="1"/>
    <col min="12" max="12" width="16.140625" customWidth="1"/>
    <col min="13" max="13" width="15" customWidth="1"/>
    <col min="14" max="14" width="21" customWidth="1"/>
    <col min="15" max="15" width="12.5703125" customWidth="1"/>
    <col min="16" max="16" width="11.42578125" customWidth="1"/>
    <col min="17" max="17" width="4.42578125" customWidth="1"/>
    <col min="19" max="19" width="13.140625" customWidth="1"/>
    <col min="21" max="21" width="12.85546875" customWidth="1"/>
    <col min="22" max="23" width="11" customWidth="1"/>
  </cols>
  <sheetData>
    <row r="2" spans="2:23" ht="19.5" customHeight="1" x14ac:dyDescent="0.35">
      <c r="B2" s="243" t="s">
        <v>204</v>
      </c>
      <c r="C2" s="245" t="s">
        <v>143</v>
      </c>
      <c r="D2" s="259"/>
      <c r="E2" s="259"/>
      <c r="F2" s="260"/>
      <c r="G2" s="260"/>
      <c r="H2" s="251" t="s">
        <v>281</v>
      </c>
      <c r="I2" s="269" t="s">
        <v>279</v>
      </c>
    </row>
    <row r="3" spans="2:23" ht="19.5" customHeight="1" thickBot="1" x14ac:dyDescent="0.4">
      <c r="B3" s="243"/>
      <c r="C3" s="148" t="s">
        <v>145</v>
      </c>
      <c r="D3" s="148" t="s">
        <v>146</v>
      </c>
      <c r="E3" s="148" t="s">
        <v>280</v>
      </c>
      <c r="F3" s="148" t="s">
        <v>148</v>
      </c>
      <c r="G3" s="148" t="s">
        <v>149</v>
      </c>
      <c r="H3" s="251"/>
      <c r="I3" s="269"/>
    </row>
    <row r="4" spans="2:23" ht="76.5" customHeight="1" thickTop="1" thickBot="1" x14ac:dyDescent="0.4">
      <c r="B4" s="258"/>
      <c r="C4" s="247" t="s">
        <v>144</v>
      </c>
      <c r="D4" s="261"/>
      <c r="E4" s="261"/>
      <c r="F4" s="261"/>
      <c r="G4" s="262"/>
      <c r="H4" s="251"/>
      <c r="I4" s="269"/>
      <c r="K4" s="160" t="s">
        <v>204</v>
      </c>
      <c r="L4" s="161" t="s">
        <v>276</v>
      </c>
      <c r="M4" s="161" t="s">
        <v>284</v>
      </c>
      <c r="N4" s="161"/>
      <c r="O4" s="161" t="s">
        <v>282</v>
      </c>
      <c r="P4" s="161" t="s">
        <v>283</v>
      </c>
      <c r="R4" s="160" t="s">
        <v>204</v>
      </c>
      <c r="S4" s="161" t="s">
        <v>285</v>
      </c>
      <c r="T4" s="161" t="s">
        <v>284</v>
      </c>
      <c r="U4" s="161" t="s">
        <v>286</v>
      </c>
      <c r="V4" s="161" t="s">
        <v>287</v>
      </c>
      <c r="W4" s="161" t="s">
        <v>283</v>
      </c>
    </row>
    <row r="5" spans="2:23" ht="20.25" thickTop="1" thickBot="1" x14ac:dyDescent="0.35">
      <c r="B5" s="36">
        <v>1</v>
      </c>
      <c r="C5" s="155">
        <f ca="1">RANDBETWEEN(5,50)</f>
        <v>30</v>
      </c>
      <c r="D5" s="155">
        <f t="shared" ref="D5:G20" ca="1" si="0">RANDBETWEEN(5,50)</f>
        <v>37</v>
      </c>
      <c r="E5" s="155">
        <f t="shared" ca="1" si="0"/>
        <v>20</v>
      </c>
      <c r="F5" s="155">
        <f t="shared" ca="1" si="0"/>
        <v>16</v>
      </c>
      <c r="G5" s="155">
        <f t="shared" ca="1" si="0"/>
        <v>41</v>
      </c>
      <c r="H5" s="174">
        <f t="shared" ref="H5:H29" ca="1" si="1">RANDBETWEEN(3,9)</f>
        <v>8</v>
      </c>
      <c r="I5" s="173">
        <f t="shared" ref="I5:I29" ca="1" si="2">0.19*RAND()+0.8</f>
        <v>0.81150229519343398</v>
      </c>
      <c r="K5" s="162">
        <v>1</v>
      </c>
      <c r="L5" s="164">
        <f ca="1">RANDBETWEEN(25,66)</f>
        <v>28</v>
      </c>
      <c r="M5" s="164">
        <f ca="1">RANDBETWEEN(7,15)</f>
        <v>7</v>
      </c>
      <c r="N5" s="164">
        <f ca="1">RANDBETWEEN(88,122)</f>
        <v>97</v>
      </c>
      <c r="O5" s="164">
        <f ca="1">RANDBETWEEN(70,81)</f>
        <v>81</v>
      </c>
      <c r="P5" s="175">
        <f ca="1">0.18*RAND()+0.8</f>
        <v>0.96185528798431918</v>
      </c>
      <c r="R5" s="163">
        <v>1</v>
      </c>
      <c r="S5" s="164"/>
      <c r="T5" s="164"/>
      <c r="U5" s="164"/>
      <c r="V5" s="164"/>
      <c r="W5" s="175"/>
    </row>
    <row r="6" spans="2:23" ht="20.25" thickTop="1" thickBot="1" x14ac:dyDescent="0.35">
      <c r="B6" s="36">
        <v>2</v>
      </c>
      <c r="C6" s="155">
        <f t="shared" ref="C6:G29" ca="1" si="3">RANDBETWEEN(5,50)</f>
        <v>21</v>
      </c>
      <c r="D6" s="155">
        <f t="shared" ca="1" si="0"/>
        <v>14</v>
      </c>
      <c r="E6" s="155">
        <f t="shared" ca="1" si="0"/>
        <v>27</v>
      </c>
      <c r="F6" s="155">
        <f t="shared" ca="1" si="0"/>
        <v>24</v>
      </c>
      <c r="G6" s="155">
        <f t="shared" ca="1" si="0"/>
        <v>17</v>
      </c>
      <c r="H6" s="174">
        <f t="shared" ca="1" si="1"/>
        <v>7</v>
      </c>
      <c r="I6" s="173">
        <f t="shared" ca="1" si="2"/>
        <v>0.92374370579331588</v>
      </c>
      <c r="K6" s="163">
        <v>2</v>
      </c>
      <c r="L6" s="164">
        <f t="shared" ref="L6:L29" ca="1" si="4">RANDBETWEEN(25,66)</f>
        <v>26</v>
      </c>
      <c r="M6" s="164">
        <f t="shared" ref="M6:M29" ca="1" si="5">RANDBETWEEN(7,15)</f>
        <v>10</v>
      </c>
      <c r="N6" s="164">
        <f t="shared" ref="N6:N29" ca="1" si="6">RANDBETWEEN(88,122)</f>
        <v>114</v>
      </c>
      <c r="O6" s="164">
        <f t="shared" ref="O6:O29" ca="1" si="7">RANDBETWEEN(70,81)</f>
        <v>76</v>
      </c>
      <c r="P6" s="175">
        <f t="shared" ref="P6:P29" ca="1" si="8">0.18*RAND()+0.8</f>
        <v>0.8920217666111403</v>
      </c>
      <c r="R6" s="162">
        <v>2</v>
      </c>
      <c r="S6" s="164"/>
      <c r="T6" s="164"/>
      <c r="U6" s="164"/>
      <c r="V6" s="164"/>
      <c r="W6" s="175"/>
    </row>
    <row r="7" spans="2:23" ht="20.25" thickTop="1" thickBot="1" x14ac:dyDescent="0.35">
      <c r="B7" s="36">
        <v>3</v>
      </c>
      <c r="C7" s="155">
        <f t="shared" ca="1" si="3"/>
        <v>10</v>
      </c>
      <c r="D7" s="155">
        <f t="shared" ca="1" si="0"/>
        <v>5</v>
      </c>
      <c r="E7" s="155">
        <f t="shared" ca="1" si="0"/>
        <v>6</v>
      </c>
      <c r="F7" s="155">
        <f t="shared" ca="1" si="0"/>
        <v>45</v>
      </c>
      <c r="G7" s="155">
        <f t="shared" ca="1" si="0"/>
        <v>13</v>
      </c>
      <c r="H7" s="174">
        <f t="shared" ca="1" si="1"/>
        <v>5</v>
      </c>
      <c r="I7" s="173">
        <f t="shared" ca="1" si="2"/>
        <v>0.83121853267073076</v>
      </c>
      <c r="K7" s="162">
        <v>3</v>
      </c>
      <c r="L7" s="164">
        <f t="shared" ca="1" si="4"/>
        <v>29</v>
      </c>
      <c r="M7" s="164">
        <f t="shared" ca="1" si="5"/>
        <v>15</v>
      </c>
      <c r="N7" s="164">
        <f t="shared" ca="1" si="6"/>
        <v>112</v>
      </c>
      <c r="O7" s="164">
        <f t="shared" ca="1" si="7"/>
        <v>76</v>
      </c>
      <c r="P7" s="175">
        <f t="shared" ca="1" si="8"/>
        <v>0.96421086037723491</v>
      </c>
      <c r="R7" s="163">
        <v>3</v>
      </c>
      <c r="S7" s="164"/>
      <c r="T7" s="164"/>
      <c r="U7" s="164"/>
      <c r="V7" s="164"/>
      <c r="W7" s="175"/>
    </row>
    <row r="8" spans="2:23" ht="20.25" thickTop="1" thickBot="1" x14ac:dyDescent="0.35">
      <c r="B8" s="36">
        <v>4</v>
      </c>
      <c r="C8" s="155">
        <f t="shared" ca="1" si="3"/>
        <v>50</v>
      </c>
      <c r="D8" s="155">
        <f t="shared" ca="1" si="0"/>
        <v>11</v>
      </c>
      <c r="E8" s="155">
        <f t="shared" ca="1" si="0"/>
        <v>48</v>
      </c>
      <c r="F8" s="155">
        <f t="shared" ca="1" si="0"/>
        <v>41</v>
      </c>
      <c r="G8" s="155">
        <f t="shared" ca="1" si="0"/>
        <v>34</v>
      </c>
      <c r="H8" s="174">
        <f t="shared" ca="1" si="1"/>
        <v>4</v>
      </c>
      <c r="I8" s="173">
        <f t="shared" ca="1" si="2"/>
        <v>0.80374102064210962</v>
      </c>
      <c r="K8" s="163">
        <v>4</v>
      </c>
      <c r="L8" s="164">
        <f t="shared" ca="1" si="4"/>
        <v>61</v>
      </c>
      <c r="M8" s="164">
        <f t="shared" ca="1" si="5"/>
        <v>8</v>
      </c>
      <c r="N8" s="164">
        <f t="shared" ca="1" si="6"/>
        <v>113</v>
      </c>
      <c r="O8" s="164">
        <f t="shared" ca="1" si="7"/>
        <v>79</v>
      </c>
      <c r="P8" s="175">
        <f t="shared" ca="1" si="8"/>
        <v>0.91161350403229546</v>
      </c>
      <c r="R8" s="162">
        <v>4</v>
      </c>
      <c r="S8" s="164"/>
      <c r="T8" s="164"/>
      <c r="U8" s="164"/>
      <c r="V8" s="164"/>
      <c r="W8" s="175"/>
    </row>
    <row r="9" spans="2:23" ht="20.25" thickTop="1" thickBot="1" x14ac:dyDescent="0.35">
      <c r="B9" s="36">
        <v>5</v>
      </c>
      <c r="C9" s="155">
        <f t="shared" ca="1" si="3"/>
        <v>45</v>
      </c>
      <c r="D9" s="155">
        <f t="shared" ca="1" si="0"/>
        <v>43</v>
      </c>
      <c r="E9" s="155">
        <f t="shared" ca="1" si="0"/>
        <v>38</v>
      </c>
      <c r="F9" s="155">
        <f t="shared" ca="1" si="0"/>
        <v>14</v>
      </c>
      <c r="G9" s="155">
        <f t="shared" ca="1" si="0"/>
        <v>19</v>
      </c>
      <c r="H9" s="174">
        <f t="shared" ca="1" si="1"/>
        <v>3</v>
      </c>
      <c r="I9" s="173">
        <f t="shared" ca="1" si="2"/>
        <v>0.84074248487799352</v>
      </c>
      <c r="K9" s="162">
        <v>5</v>
      </c>
      <c r="L9" s="164">
        <f t="shared" ca="1" si="4"/>
        <v>27</v>
      </c>
      <c r="M9" s="164">
        <f t="shared" ca="1" si="5"/>
        <v>15</v>
      </c>
      <c r="N9" s="164">
        <f t="shared" ca="1" si="6"/>
        <v>96</v>
      </c>
      <c r="O9" s="164">
        <f t="shared" ca="1" si="7"/>
        <v>70</v>
      </c>
      <c r="P9" s="175">
        <f t="shared" ca="1" si="8"/>
        <v>0.83104482121214562</v>
      </c>
      <c r="R9" s="163">
        <v>5</v>
      </c>
      <c r="S9" s="164"/>
      <c r="T9" s="164"/>
      <c r="U9" s="164"/>
      <c r="V9" s="164"/>
      <c r="W9" s="175"/>
    </row>
    <row r="10" spans="2:23" ht="20.25" thickTop="1" thickBot="1" x14ac:dyDescent="0.35">
      <c r="B10" s="36">
        <v>6</v>
      </c>
      <c r="C10" s="155">
        <f t="shared" ca="1" si="3"/>
        <v>50</v>
      </c>
      <c r="D10" s="155">
        <f t="shared" ca="1" si="0"/>
        <v>21</v>
      </c>
      <c r="E10" s="155">
        <f t="shared" ca="1" si="0"/>
        <v>26</v>
      </c>
      <c r="F10" s="155">
        <f t="shared" ca="1" si="0"/>
        <v>20</v>
      </c>
      <c r="G10" s="155">
        <f t="shared" ca="1" si="0"/>
        <v>46</v>
      </c>
      <c r="H10" s="174">
        <f t="shared" ca="1" si="1"/>
        <v>6</v>
      </c>
      <c r="I10" s="173">
        <f t="shared" ca="1" si="2"/>
        <v>0.90332372176270803</v>
      </c>
      <c r="K10" s="163">
        <v>6</v>
      </c>
      <c r="L10" s="164">
        <f t="shared" ca="1" si="4"/>
        <v>46</v>
      </c>
      <c r="M10" s="164">
        <f t="shared" ca="1" si="5"/>
        <v>7</v>
      </c>
      <c r="N10" s="164">
        <f t="shared" ca="1" si="6"/>
        <v>97</v>
      </c>
      <c r="O10" s="164">
        <f t="shared" ca="1" si="7"/>
        <v>81</v>
      </c>
      <c r="P10" s="175">
        <f t="shared" ca="1" si="8"/>
        <v>0.85386716802649665</v>
      </c>
      <c r="R10" s="162">
        <v>6</v>
      </c>
      <c r="S10" s="164"/>
      <c r="T10" s="164"/>
      <c r="U10" s="164"/>
      <c r="V10" s="164"/>
      <c r="W10" s="175"/>
    </row>
    <row r="11" spans="2:23" ht="20.25" thickTop="1" thickBot="1" x14ac:dyDescent="0.35">
      <c r="B11" s="36">
        <v>7</v>
      </c>
      <c r="C11" s="155">
        <f t="shared" ca="1" si="3"/>
        <v>42</v>
      </c>
      <c r="D11" s="155">
        <f t="shared" ca="1" si="0"/>
        <v>33</v>
      </c>
      <c r="E11" s="155">
        <f t="shared" ca="1" si="0"/>
        <v>19</v>
      </c>
      <c r="F11" s="155">
        <f t="shared" ca="1" si="0"/>
        <v>25</v>
      </c>
      <c r="G11" s="155">
        <f t="shared" ca="1" si="0"/>
        <v>35</v>
      </c>
      <c r="H11" s="174">
        <f t="shared" ca="1" si="1"/>
        <v>9</v>
      </c>
      <c r="I11" s="173">
        <f t="shared" ca="1" si="2"/>
        <v>0.80526100265170064</v>
      </c>
      <c r="K11" s="162">
        <v>7</v>
      </c>
      <c r="L11" s="164">
        <f t="shared" ca="1" si="4"/>
        <v>59</v>
      </c>
      <c r="M11" s="164">
        <f t="shared" ca="1" si="5"/>
        <v>8</v>
      </c>
      <c r="N11" s="164">
        <f t="shared" ca="1" si="6"/>
        <v>106</v>
      </c>
      <c r="O11" s="164">
        <f t="shared" ca="1" si="7"/>
        <v>70</v>
      </c>
      <c r="P11" s="175">
        <f t="shared" ca="1" si="8"/>
        <v>0.88213233449850892</v>
      </c>
      <c r="R11" s="163">
        <v>7</v>
      </c>
      <c r="S11" s="164"/>
      <c r="T11" s="164"/>
      <c r="U11" s="164"/>
      <c r="V11" s="164"/>
      <c r="W11" s="175"/>
    </row>
    <row r="12" spans="2:23" ht="20.25" thickTop="1" thickBot="1" x14ac:dyDescent="0.35">
      <c r="B12" s="36">
        <v>8</v>
      </c>
      <c r="C12" s="155">
        <f t="shared" ca="1" si="3"/>
        <v>37</v>
      </c>
      <c r="D12" s="155">
        <f t="shared" ca="1" si="0"/>
        <v>23</v>
      </c>
      <c r="E12" s="155">
        <f t="shared" ca="1" si="0"/>
        <v>49</v>
      </c>
      <c r="F12" s="155">
        <f t="shared" ca="1" si="0"/>
        <v>19</v>
      </c>
      <c r="G12" s="155">
        <f t="shared" ca="1" si="0"/>
        <v>20</v>
      </c>
      <c r="H12" s="174">
        <f t="shared" ca="1" si="1"/>
        <v>4</v>
      </c>
      <c r="I12" s="173">
        <f t="shared" ca="1" si="2"/>
        <v>0.91025558846985355</v>
      </c>
      <c r="K12" s="163">
        <v>8</v>
      </c>
      <c r="L12" s="164">
        <f t="shared" ca="1" si="4"/>
        <v>45</v>
      </c>
      <c r="M12" s="164">
        <f t="shared" ca="1" si="5"/>
        <v>7</v>
      </c>
      <c r="N12" s="164">
        <f t="shared" ca="1" si="6"/>
        <v>111</v>
      </c>
      <c r="O12" s="164">
        <f t="shared" ca="1" si="7"/>
        <v>72</v>
      </c>
      <c r="P12" s="175">
        <f t="shared" ca="1" si="8"/>
        <v>0.81771266505823204</v>
      </c>
      <c r="R12" s="162">
        <v>8</v>
      </c>
      <c r="S12" s="164"/>
      <c r="T12" s="164"/>
      <c r="U12" s="164"/>
      <c r="V12" s="164"/>
      <c r="W12" s="175"/>
    </row>
    <row r="13" spans="2:23" ht="20.25" thickTop="1" thickBot="1" x14ac:dyDescent="0.35">
      <c r="B13" s="36">
        <v>9</v>
      </c>
      <c r="C13" s="155">
        <f t="shared" ca="1" si="3"/>
        <v>14</v>
      </c>
      <c r="D13" s="155">
        <f t="shared" ca="1" si="0"/>
        <v>14</v>
      </c>
      <c r="E13" s="155">
        <f t="shared" ca="1" si="0"/>
        <v>8</v>
      </c>
      <c r="F13" s="155">
        <f t="shared" ca="1" si="0"/>
        <v>49</v>
      </c>
      <c r="G13" s="155">
        <f t="shared" ca="1" si="0"/>
        <v>27</v>
      </c>
      <c r="H13" s="174">
        <f t="shared" ca="1" si="1"/>
        <v>4</v>
      </c>
      <c r="I13" s="173">
        <f t="shared" ca="1" si="2"/>
        <v>0.88775164055826894</v>
      </c>
      <c r="K13" s="162">
        <v>9</v>
      </c>
      <c r="L13" s="164">
        <f t="shared" ca="1" si="4"/>
        <v>28</v>
      </c>
      <c r="M13" s="164">
        <f t="shared" ca="1" si="5"/>
        <v>12</v>
      </c>
      <c r="N13" s="164">
        <f t="shared" ca="1" si="6"/>
        <v>95</v>
      </c>
      <c r="O13" s="164">
        <f t="shared" ca="1" si="7"/>
        <v>73</v>
      </c>
      <c r="P13" s="175">
        <f t="shared" ca="1" si="8"/>
        <v>0.96806898882553605</v>
      </c>
      <c r="R13" s="163">
        <v>9</v>
      </c>
      <c r="S13" s="164"/>
      <c r="T13" s="164"/>
      <c r="U13" s="164"/>
      <c r="V13" s="164"/>
      <c r="W13" s="175"/>
    </row>
    <row r="14" spans="2:23" ht="20.25" thickTop="1" thickBot="1" x14ac:dyDescent="0.35">
      <c r="B14" s="36">
        <v>10</v>
      </c>
      <c r="C14" s="155">
        <f t="shared" ca="1" si="3"/>
        <v>25</v>
      </c>
      <c r="D14" s="155">
        <f t="shared" ca="1" si="0"/>
        <v>7</v>
      </c>
      <c r="E14" s="155">
        <f t="shared" ca="1" si="0"/>
        <v>22</v>
      </c>
      <c r="F14" s="155">
        <f t="shared" ca="1" si="0"/>
        <v>13</v>
      </c>
      <c r="G14" s="155">
        <f t="shared" ca="1" si="0"/>
        <v>50</v>
      </c>
      <c r="H14" s="174">
        <f t="shared" ca="1" si="1"/>
        <v>3</v>
      </c>
      <c r="I14" s="173">
        <f t="shared" ca="1" si="2"/>
        <v>0.86311167072175921</v>
      </c>
      <c r="K14" s="163">
        <v>10</v>
      </c>
      <c r="L14" s="164">
        <f t="shared" ca="1" si="4"/>
        <v>37</v>
      </c>
      <c r="M14" s="164">
        <f t="shared" ca="1" si="5"/>
        <v>15</v>
      </c>
      <c r="N14" s="164">
        <f t="shared" ca="1" si="6"/>
        <v>94</v>
      </c>
      <c r="O14" s="164">
        <f t="shared" ca="1" si="7"/>
        <v>81</v>
      </c>
      <c r="P14" s="175">
        <f t="shared" ca="1" si="8"/>
        <v>0.90025824706244406</v>
      </c>
      <c r="R14" s="162">
        <v>10</v>
      </c>
      <c r="S14" s="164"/>
      <c r="T14" s="164"/>
      <c r="U14" s="164"/>
      <c r="V14" s="164"/>
      <c r="W14" s="175"/>
    </row>
    <row r="15" spans="2:23" ht="20.25" thickTop="1" thickBot="1" x14ac:dyDescent="0.35">
      <c r="B15" s="36">
        <v>11</v>
      </c>
      <c r="C15" s="155">
        <f t="shared" ca="1" si="3"/>
        <v>40</v>
      </c>
      <c r="D15" s="155">
        <f t="shared" ca="1" si="0"/>
        <v>32</v>
      </c>
      <c r="E15" s="155">
        <f t="shared" ca="1" si="0"/>
        <v>22</v>
      </c>
      <c r="F15" s="155">
        <f t="shared" ca="1" si="0"/>
        <v>34</v>
      </c>
      <c r="G15" s="155">
        <f t="shared" ca="1" si="0"/>
        <v>43</v>
      </c>
      <c r="H15" s="174">
        <f t="shared" ca="1" si="1"/>
        <v>4</v>
      </c>
      <c r="I15" s="173">
        <f t="shared" ca="1" si="2"/>
        <v>0.84060111989599773</v>
      </c>
      <c r="K15" s="162">
        <v>11</v>
      </c>
      <c r="L15" s="164">
        <f t="shared" ca="1" si="4"/>
        <v>28</v>
      </c>
      <c r="M15" s="164">
        <f t="shared" ca="1" si="5"/>
        <v>14</v>
      </c>
      <c r="N15" s="164">
        <f t="shared" ca="1" si="6"/>
        <v>95</v>
      </c>
      <c r="O15" s="164">
        <f t="shared" ca="1" si="7"/>
        <v>74</v>
      </c>
      <c r="P15" s="175">
        <f t="shared" ca="1" si="8"/>
        <v>0.94320865445790425</v>
      </c>
      <c r="R15" s="163">
        <v>11</v>
      </c>
      <c r="S15" s="164"/>
      <c r="T15" s="164"/>
      <c r="U15" s="164"/>
      <c r="V15" s="164"/>
      <c r="W15" s="175"/>
    </row>
    <row r="16" spans="2:23" ht="20.25" thickTop="1" thickBot="1" x14ac:dyDescent="0.35">
      <c r="B16" s="36">
        <v>12</v>
      </c>
      <c r="C16" s="155">
        <f t="shared" ca="1" si="3"/>
        <v>38</v>
      </c>
      <c r="D16" s="155">
        <f t="shared" ca="1" si="0"/>
        <v>13</v>
      </c>
      <c r="E16" s="155">
        <f t="shared" ca="1" si="0"/>
        <v>36</v>
      </c>
      <c r="F16" s="155">
        <f t="shared" ca="1" si="0"/>
        <v>19</v>
      </c>
      <c r="G16" s="155">
        <f t="shared" ca="1" si="0"/>
        <v>8</v>
      </c>
      <c r="H16" s="174">
        <f t="shared" ca="1" si="1"/>
        <v>9</v>
      </c>
      <c r="I16" s="173">
        <f t="shared" ca="1" si="2"/>
        <v>0.97370759651845251</v>
      </c>
      <c r="K16" s="163">
        <v>12</v>
      </c>
      <c r="L16" s="164">
        <f t="shared" ca="1" si="4"/>
        <v>50</v>
      </c>
      <c r="M16" s="164">
        <f t="shared" ca="1" si="5"/>
        <v>14</v>
      </c>
      <c r="N16" s="164">
        <f t="shared" ca="1" si="6"/>
        <v>107</v>
      </c>
      <c r="O16" s="164">
        <f t="shared" ca="1" si="7"/>
        <v>79</v>
      </c>
      <c r="P16" s="175">
        <f t="shared" ca="1" si="8"/>
        <v>0.82946505979024465</v>
      </c>
      <c r="R16" s="176">
        <v>12</v>
      </c>
      <c r="S16" s="177"/>
      <c r="T16" s="177"/>
      <c r="U16" s="177"/>
      <c r="V16" s="177"/>
      <c r="W16" s="178"/>
    </row>
    <row r="17" spans="2:23" ht="20.25" thickTop="1" thickBot="1" x14ac:dyDescent="0.35">
      <c r="B17" s="36">
        <v>13</v>
      </c>
      <c r="C17" s="155">
        <f t="shared" ca="1" si="3"/>
        <v>25</v>
      </c>
      <c r="D17" s="155">
        <f t="shared" ca="1" si="0"/>
        <v>32</v>
      </c>
      <c r="E17" s="155">
        <f t="shared" ca="1" si="0"/>
        <v>33</v>
      </c>
      <c r="F17" s="155">
        <f t="shared" ca="1" si="0"/>
        <v>32</v>
      </c>
      <c r="G17" s="155">
        <f t="shared" ca="1" si="0"/>
        <v>35</v>
      </c>
      <c r="H17" s="174">
        <f t="shared" ca="1" si="1"/>
        <v>8</v>
      </c>
      <c r="I17" s="173">
        <f t="shared" ca="1" si="2"/>
        <v>0.97372494457881842</v>
      </c>
      <c r="K17" s="162">
        <v>13</v>
      </c>
      <c r="L17" s="164">
        <f t="shared" ca="1" si="4"/>
        <v>62</v>
      </c>
      <c r="M17" s="164">
        <f t="shared" ca="1" si="5"/>
        <v>7</v>
      </c>
      <c r="N17" s="164">
        <f t="shared" ca="1" si="6"/>
        <v>114</v>
      </c>
      <c r="O17" s="164">
        <f t="shared" ca="1" si="7"/>
        <v>73</v>
      </c>
      <c r="P17" s="175">
        <f t="shared" ca="1" si="8"/>
        <v>0.86363173208370758</v>
      </c>
      <c r="R17" s="162">
        <v>13</v>
      </c>
      <c r="S17" s="164"/>
      <c r="T17" s="164"/>
      <c r="U17" s="164"/>
      <c r="V17" s="164"/>
      <c r="W17" s="175"/>
    </row>
    <row r="18" spans="2:23" ht="20.25" thickTop="1" thickBot="1" x14ac:dyDescent="0.35">
      <c r="B18" s="36">
        <v>14</v>
      </c>
      <c r="C18" s="155">
        <f t="shared" ca="1" si="3"/>
        <v>11</v>
      </c>
      <c r="D18" s="155">
        <f t="shared" ca="1" si="0"/>
        <v>18</v>
      </c>
      <c r="E18" s="155">
        <f t="shared" ca="1" si="0"/>
        <v>27</v>
      </c>
      <c r="F18" s="155">
        <f t="shared" ca="1" si="0"/>
        <v>32</v>
      </c>
      <c r="G18" s="155">
        <f t="shared" ca="1" si="0"/>
        <v>30</v>
      </c>
      <c r="H18" s="174">
        <f t="shared" ca="1" si="1"/>
        <v>9</v>
      </c>
      <c r="I18" s="173">
        <f t="shared" ca="1" si="2"/>
        <v>0.91384542053527096</v>
      </c>
      <c r="K18" s="163">
        <v>14</v>
      </c>
      <c r="L18" s="164">
        <f t="shared" ca="1" si="4"/>
        <v>61</v>
      </c>
      <c r="M18" s="164">
        <f t="shared" ca="1" si="5"/>
        <v>7</v>
      </c>
      <c r="N18" s="164">
        <f t="shared" ca="1" si="6"/>
        <v>114</v>
      </c>
      <c r="O18" s="164">
        <f t="shared" ca="1" si="7"/>
        <v>70</v>
      </c>
      <c r="P18" s="175">
        <f t="shared" ca="1" si="8"/>
        <v>0.81556507654529298</v>
      </c>
      <c r="R18" s="163">
        <v>14</v>
      </c>
      <c r="S18" s="164"/>
      <c r="T18" s="164"/>
      <c r="U18" s="164"/>
      <c r="V18" s="164"/>
      <c r="W18" s="175"/>
    </row>
    <row r="19" spans="2:23" ht="20.25" thickTop="1" thickBot="1" x14ac:dyDescent="0.35">
      <c r="B19" s="36">
        <v>15</v>
      </c>
      <c r="C19" s="155">
        <f t="shared" ca="1" si="3"/>
        <v>11</v>
      </c>
      <c r="D19" s="155">
        <f t="shared" ca="1" si="0"/>
        <v>28</v>
      </c>
      <c r="E19" s="155">
        <f t="shared" ca="1" si="0"/>
        <v>33</v>
      </c>
      <c r="F19" s="155">
        <f t="shared" ca="1" si="0"/>
        <v>48</v>
      </c>
      <c r="G19" s="155">
        <f t="shared" ca="1" si="0"/>
        <v>34</v>
      </c>
      <c r="H19" s="174">
        <f t="shared" ca="1" si="1"/>
        <v>5</v>
      </c>
      <c r="I19" s="173">
        <f t="shared" ca="1" si="2"/>
        <v>0.80943663372048236</v>
      </c>
      <c r="K19" s="162">
        <v>15</v>
      </c>
      <c r="L19" s="164">
        <f t="shared" ca="1" si="4"/>
        <v>60</v>
      </c>
      <c r="M19" s="164">
        <f t="shared" ca="1" si="5"/>
        <v>12</v>
      </c>
      <c r="N19" s="164">
        <f t="shared" ca="1" si="6"/>
        <v>117</v>
      </c>
      <c r="O19" s="164">
        <f t="shared" ca="1" si="7"/>
        <v>76</v>
      </c>
      <c r="P19" s="175">
        <f t="shared" ca="1" si="8"/>
        <v>0.91159951868601496</v>
      </c>
      <c r="R19" s="176">
        <v>15</v>
      </c>
      <c r="S19" s="177"/>
      <c r="T19" s="177"/>
      <c r="U19" s="177"/>
      <c r="V19" s="177"/>
      <c r="W19" s="178"/>
    </row>
    <row r="20" spans="2:23" ht="20.25" thickTop="1" thickBot="1" x14ac:dyDescent="0.35">
      <c r="B20" s="36">
        <v>16</v>
      </c>
      <c r="C20" s="155">
        <f t="shared" ca="1" si="3"/>
        <v>32</v>
      </c>
      <c r="D20" s="155">
        <f t="shared" ca="1" si="0"/>
        <v>35</v>
      </c>
      <c r="E20" s="155">
        <f t="shared" ca="1" si="0"/>
        <v>10</v>
      </c>
      <c r="F20" s="155">
        <f t="shared" ca="1" si="0"/>
        <v>41</v>
      </c>
      <c r="G20" s="155">
        <f t="shared" ca="1" si="0"/>
        <v>46</v>
      </c>
      <c r="H20" s="174">
        <f t="shared" ca="1" si="1"/>
        <v>6</v>
      </c>
      <c r="I20" s="173">
        <f t="shared" ca="1" si="2"/>
        <v>0.89344076767266134</v>
      </c>
      <c r="K20" s="163">
        <v>16</v>
      </c>
      <c r="L20" s="164">
        <f t="shared" ca="1" si="4"/>
        <v>48</v>
      </c>
      <c r="M20" s="164">
        <f t="shared" ca="1" si="5"/>
        <v>7</v>
      </c>
      <c r="N20" s="164">
        <f t="shared" ca="1" si="6"/>
        <v>96</v>
      </c>
      <c r="O20" s="164">
        <f t="shared" ca="1" si="7"/>
        <v>80</v>
      </c>
      <c r="P20" s="175">
        <f t="shared" ca="1" si="8"/>
        <v>0.94516097672403099</v>
      </c>
      <c r="R20" s="162">
        <v>16</v>
      </c>
      <c r="S20" s="164"/>
      <c r="T20" s="164"/>
      <c r="U20" s="164"/>
      <c r="V20" s="164"/>
      <c r="W20" s="175"/>
    </row>
    <row r="21" spans="2:23" ht="20.25" thickTop="1" thickBot="1" x14ac:dyDescent="0.35">
      <c r="B21" s="36">
        <v>17</v>
      </c>
      <c r="C21" s="155">
        <f t="shared" ca="1" si="3"/>
        <v>44</v>
      </c>
      <c r="D21" s="155">
        <f t="shared" ca="1" si="3"/>
        <v>50</v>
      </c>
      <c r="E21" s="155">
        <f t="shared" ca="1" si="3"/>
        <v>20</v>
      </c>
      <c r="F21" s="155">
        <f t="shared" ca="1" si="3"/>
        <v>26</v>
      </c>
      <c r="G21" s="155">
        <f t="shared" ca="1" si="3"/>
        <v>40</v>
      </c>
      <c r="H21" s="174">
        <f t="shared" ca="1" si="1"/>
        <v>9</v>
      </c>
      <c r="I21" s="173">
        <f t="shared" ca="1" si="2"/>
        <v>0.92486206367607382</v>
      </c>
      <c r="K21" s="162">
        <v>17</v>
      </c>
      <c r="L21" s="164">
        <f t="shared" ca="1" si="4"/>
        <v>43</v>
      </c>
      <c r="M21" s="164">
        <f t="shared" ca="1" si="5"/>
        <v>14</v>
      </c>
      <c r="N21" s="164">
        <f t="shared" ca="1" si="6"/>
        <v>109</v>
      </c>
      <c r="O21" s="164">
        <f t="shared" ca="1" si="7"/>
        <v>81</v>
      </c>
      <c r="P21" s="175">
        <f t="shared" ca="1" si="8"/>
        <v>0.94151640227450284</v>
      </c>
      <c r="R21" s="163">
        <v>17</v>
      </c>
      <c r="S21" s="164"/>
      <c r="T21" s="164"/>
      <c r="U21" s="164"/>
      <c r="V21" s="164"/>
      <c r="W21" s="175"/>
    </row>
    <row r="22" spans="2:23" ht="20.25" thickTop="1" thickBot="1" x14ac:dyDescent="0.35">
      <c r="B22" s="36">
        <v>18</v>
      </c>
      <c r="C22" s="155">
        <f t="shared" ca="1" si="3"/>
        <v>21</v>
      </c>
      <c r="D22" s="155">
        <f t="shared" ca="1" si="3"/>
        <v>35</v>
      </c>
      <c r="E22" s="155">
        <f t="shared" ca="1" si="3"/>
        <v>36</v>
      </c>
      <c r="F22" s="155">
        <f t="shared" ca="1" si="3"/>
        <v>19</v>
      </c>
      <c r="G22" s="155">
        <f t="shared" ca="1" si="3"/>
        <v>22</v>
      </c>
      <c r="H22" s="174">
        <f t="shared" ca="1" si="1"/>
        <v>7</v>
      </c>
      <c r="I22" s="173">
        <f t="shared" ca="1" si="2"/>
        <v>0.95682823693485131</v>
      </c>
      <c r="K22" s="163">
        <v>18</v>
      </c>
      <c r="L22" s="164">
        <f t="shared" ca="1" si="4"/>
        <v>65</v>
      </c>
      <c r="M22" s="164">
        <f t="shared" ca="1" si="5"/>
        <v>8</v>
      </c>
      <c r="N22" s="164">
        <f t="shared" ca="1" si="6"/>
        <v>104</v>
      </c>
      <c r="O22" s="164">
        <f t="shared" ca="1" si="7"/>
        <v>77</v>
      </c>
      <c r="P22" s="175">
        <f t="shared" ca="1" si="8"/>
        <v>0.94484231022544796</v>
      </c>
      <c r="R22" s="176">
        <v>18</v>
      </c>
      <c r="S22" s="177"/>
      <c r="T22" s="177"/>
      <c r="U22" s="177"/>
      <c r="V22" s="177"/>
      <c r="W22" s="178"/>
    </row>
    <row r="23" spans="2:23" ht="20.25" thickTop="1" thickBot="1" x14ac:dyDescent="0.35">
      <c r="B23" s="36">
        <v>19</v>
      </c>
      <c r="C23" s="155">
        <f t="shared" ca="1" si="3"/>
        <v>47</v>
      </c>
      <c r="D23" s="155">
        <f t="shared" ca="1" si="3"/>
        <v>49</v>
      </c>
      <c r="E23" s="155">
        <f t="shared" ca="1" si="3"/>
        <v>33</v>
      </c>
      <c r="F23" s="155">
        <f t="shared" ca="1" si="3"/>
        <v>7</v>
      </c>
      <c r="G23" s="155">
        <f t="shared" ca="1" si="3"/>
        <v>26</v>
      </c>
      <c r="H23" s="174">
        <f t="shared" ca="1" si="1"/>
        <v>9</v>
      </c>
      <c r="I23" s="173">
        <f t="shared" ca="1" si="2"/>
        <v>0.84131965491406158</v>
      </c>
      <c r="K23" s="162">
        <v>19</v>
      </c>
      <c r="L23" s="164">
        <f t="shared" ca="1" si="4"/>
        <v>30</v>
      </c>
      <c r="M23" s="164">
        <f t="shared" ca="1" si="5"/>
        <v>8</v>
      </c>
      <c r="N23" s="164">
        <f t="shared" ca="1" si="6"/>
        <v>111</v>
      </c>
      <c r="O23" s="164">
        <f t="shared" ca="1" si="7"/>
        <v>76</v>
      </c>
      <c r="P23" s="175">
        <f t="shared" ca="1" si="8"/>
        <v>0.82059753068421404</v>
      </c>
      <c r="R23" s="162">
        <v>19</v>
      </c>
      <c r="S23" s="164"/>
      <c r="T23" s="164"/>
      <c r="U23" s="164"/>
      <c r="V23" s="164"/>
      <c r="W23" s="175"/>
    </row>
    <row r="24" spans="2:23" ht="20.25" thickTop="1" thickBot="1" x14ac:dyDescent="0.35">
      <c r="B24" s="36">
        <v>20</v>
      </c>
      <c r="C24" s="155">
        <f t="shared" ca="1" si="3"/>
        <v>19</v>
      </c>
      <c r="D24" s="155">
        <f t="shared" ca="1" si="3"/>
        <v>15</v>
      </c>
      <c r="E24" s="155">
        <f t="shared" ca="1" si="3"/>
        <v>15</v>
      </c>
      <c r="F24" s="155">
        <f t="shared" ca="1" si="3"/>
        <v>17</v>
      </c>
      <c r="G24" s="155">
        <f t="shared" ca="1" si="3"/>
        <v>43</v>
      </c>
      <c r="H24" s="174">
        <f t="shared" ca="1" si="1"/>
        <v>8</v>
      </c>
      <c r="I24" s="173">
        <f t="shared" ca="1" si="2"/>
        <v>0.84390403702449779</v>
      </c>
      <c r="K24" s="163">
        <v>20</v>
      </c>
      <c r="L24" s="164">
        <f t="shared" ca="1" si="4"/>
        <v>31</v>
      </c>
      <c r="M24" s="164">
        <f t="shared" ca="1" si="5"/>
        <v>9</v>
      </c>
      <c r="N24" s="164">
        <f t="shared" ca="1" si="6"/>
        <v>111</v>
      </c>
      <c r="O24" s="164">
        <f t="shared" ca="1" si="7"/>
        <v>77</v>
      </c>
      <c r="P24" s="175">
        <f t="shared" ca="1" si="8"/>
        <v>0.95800136492082433</v>
      </c>
      <c r="R24" s="163">
        <v>20</v>
      </c>
      <c r="S24" s="164"/>
      <c r="T24" s="164"/>
      <c r="U24" s="164"/>
      <c r="V24" s="164"/>
      <c r="W24" s="175"/>
    </row>
    <row r="25" spans="2:23" ht="20.25" thickTop="1" thickBot="1" x14ac:dyDescent="0.35">
      <c r="B25" s="36">
        <v>21</v>
      </c>
      <c r="C25" s="155">
        <f t="shared" ca="1" si="3"/>
        <v>40</v>
      </c>
      <c r="D25" s="155">
        <f t="shared" ca="1" si="3"/>
        <v>42</v>
      </c>
      <c r="E25" s="155">
        <f t="shared" ca="1" si="3"/>
        <v>37</v>
      </c>
      <c r="F25" s="155">
        <f t="shared" ca="1" si="3"/>
        <v>29</v>
      </c>
      <c r="G25" s="155">
        <f t="shared" ca="1" si="3"/>
        <v>9</v>
      </c>
      <c r="H25" s="174">
        <f t="shared" ca="1" si="1"/>
        <v>7</v>
      </c>
      <c r="I25" s="173">
        <f t="shared" ca="1" si="2"/>
        <v>0.95325297051534019</v>
      </c>
      <c r="K25" s="162">
        <v>21</v>
      </c>
      <c r="L25" s="164">
        <f t="shared" ca="1" si="4"/>
        <v>63</v>
      </c>
      <c r="M25" s="164">
        <f t="shared" ca="1" si="5"/>
        <v>14</v>
      </c>
      <c r="N25" s="164">
        <f t="shared" ca="1" si="6"/>
        <v>99</v>
      </c>
      <c r="O25" s="164">
        <f t="shared" ca="1" si="7"/>
        <v>81</v>
      </c>
      <c r="P25" s="175">
        <f t="shared" ca="1" si="8"/>
        <v>0.93738550369676865</v>
      </c>
      <c r="R25" s="176">
        <v>21</v>
      </c>
      <c r="S25" s="177"/>
      <c r="T25" s="177"/>
      <c r="U25" s="177"/>
      <c r="V25" s="177"/>
      <c r="W25" s="178"/>
    </row>
    <row r="26" spans="2:23" ht="20.25" thickTop="1" thickBot="1" x14ac:dyDescent="0.35">
      <c r="B26" s="36">
        <v>22</v>
      </c>
      <c r="C26" s="155">
        <f t="shared" ca="1" si="3"/>
        <v>18</v>
      </c>
      <c r="D26" s="155">
        <f t="shared" ca="1" si="3"/>
        <v>29</v>
      </c>
      <c r="E26" s="155">
        <f t="shared" ca="1" si="3"/>
        <v>6</v>
      </c>
      <c r="F26" s="155">
        <f t="shared" ca="1" si="3"/>
        <v>17</v>
      </c>
      <c r="G26" s="155">
        <f t="shared" ca="1" si="3"/>
        <v>19</v>
      </c>
      <c r="H26" s="174">
        <f t="shared" ca="1" si="1"/>
        <v>9</v>
      </c>
      <c r="I26" s="173">
        <f t="shared" ca="1" si="2"/>
        <v>0.91167348330597664</v>
      </c>
      <c r="K26" s="163">
        <v>22</v>
      </c>
      <c r="L26" s="164">
        <f t="shared" ca="1" si="4"/>
        <v>64</v>
      </c>
      <c r="M26" s="164">
        <f t="shared" ca="1" si="5"/>
        <v>14</v>
      </c>
      <c r="N26" s="164">
        <f t="shared" ca="1" si="6"/>
        <v>95</v>
      </c>
      <c r="O26" s="164">
        <f t="shared" ca="1" si="7"/>
        <v>76</v>
      </c>
      <c r="P26" s="175">
        <f t="shared" ca="1" si="8"/>
        <v>0.87426043082861504</v>
      </c>
      <c r="R26" s="162">
        <v>22</v>
      </c>
      <c r="S26" s="164"/>
      <c r="T26" s="164"/>
      <c r="U26" s="164"/>
      <c r="V26" s="164"/>
      <c r="W26" s="175"/>
    </row>
    <row r="27" spans="2:23" ht="20.25" thickTop="1" thickBot="1" x14ac:dyDescent="0.35">
      <c r="B27" s="36">
        <v>23</v>
      </c>
      <c r="C27" s="155">
        <f t="shared" ca="1" si="3"/>
        <v>28</v>
      </c>
      <c r="D27" s="155">
        <f t="shared" ca="1" si="3"/>
        <v>25</v>
      </c>
      <c r="E27" s="155">
        <f t="shared" ca="1" si="3"/>
        <v>32</v>
      </c>
      <c r="F27" s="155">
        <f t="shared" ca="1" si="3"/>
        <v>33</v>
      </c>
      <c r="G27" s="155">
        <f t="shared" ca="1" si="3"/>
        <v>43</v>
      </c>
      <c r="H27" s="174">
        <f t="shared" ca="1" si="1"/>
        <v>4</v>
      </c>
      <c r="I27" s="173">
        <f t="shared" ca="1" si="2"/>
        <v>0.88826686967909585</v>
      </c>
      <c r="K27" s="162">
        <v>23</v>
      </c>
      <c r="L27" s="164">
        <f t="shared" ca="1" si="4"/>
        <v>60</v>
      </c>
      <c r="M27" s="164">
        <f t="shared" ca="1" si="5"/>
        <v>8</v>
      </c>
      <c r="N27" s="164">
        <f t="shared" ca="1" si="6"/>
        <v>109</v>
      </c>
      <c r="O27" s="164">
        <f t="shared" ca="1" si="7"/>
        <v>74</v>
      </c>
      <c r="P27" s="175">
        <f t="shared" ca="1" si="8"/>
        <v>0.91905115289183181</v>
      </c>
      <c r="R27" s="163">
        <v>23</v>
      </c>
      <c r="S27" s="164"/>
      <c r="T27" s="164"/>
      <c r="U27" s="164"/>
      <c r="V27" s="164"/>
      <c r="W27" s="175"/>
    </row>
    <row r="28" spans="2:23" ht="20.25" thickTop="1" thickBot="1" x14ac:dyDescent="0.35">
      <c r="B28" s="36">
        <v>24</v>
      </c>
      <c r="C28" s="155">
        <f t="shared" ca="1" si="3"/>
        <v>44</v>
      </c>
      <c r="D28" s="155">
        <f t="shared" ca="1" si="3"/>
        <v>8</v>
      </c>
      <c r="E28" s="155">
        <f t="shared" ca="1" si="3"/>
        <v>36</v>
      </c>
      <c r="F28" s="155">
        <f t="shared" ca="1" si="3"/>
        <v>14</v>
      </c>
      <c r="G28" s="155">
        <f t="shared" ca="1" si="3"/>
        <v>31</v>
      </c>
      <c r="H28" s="174">
        <f t="shared" ca="1" si="1"/>
        <v>7</v>
      </c>
      <c r="I28" s="173">
        <f t="shared" ca="1" si="2"/>
        <v>0.93447417528441334</v>
      </c>
      <c r="K28" s="163">
        <v>24</v>
      </c>
      <c r="L28" s="164">
        <f t="shared" ca="1" si="4"/>
        <v>35</v>
      </c>
      <c r="M28" s="164">
        <f t="shared" ca="1" si="5"/>
        <v>11</v>
      </c>
      <c r="N28" s="164">
        <f t="shared" ca="1" si="6"/>
        <v>90</v>
      </c>
      <c r="O28" s="164">
        <f t="shared" ca="1" si="7"/>
        <v>72</v>
      </c>
      <c r="P28" s="175">
        <f t="shared" ca="1" si="8"/>
        <v>0.85185024671306142</v>
      </c>
      <c r="R28" s="176">
        <v>24</v>
      </c>
      <c r="S28" s="177"/>
      <c r="T28" s="177"/>
      <c r="U28" s="177"/>
      <c r="V28" s="177"/>
      <c r="W28" s="178"/>
    </row>
    <row r="29" spans="2:23" ht="20.25" thickTop="1" thickBot="1" x14ac:dyDescent="0.35">
      <c r="B29" s="36">
        <v>25</v>
      </c>
      <c r="C29" s="155">
        <f t="shared" ca="1" si="3"/>
        <v>7</v>
      </c>
      <c r="D29" s="155">
        <f t="shared" ca="1" si="3"/>
        <v>43</v>
      </c>
      <c r="E29" s="155">
        <f t="shared" ca="1" si="3"/>
        <v>6</v>
      </c>
      <c r="F29" s="155">
        <f t="shared" ca="1" si="3"/>
        <v>14</v>
      </c>
      <c r="G29" s="155">
        <f t="shared" ca="1" si="3"/>
        <v>46</v>
      </c>
      <c r="H29" s="174">
        <f t="shared" ca="1" si="1"/>
        <v>7</v>
      </c>
      <c r="I29" s="173">
        <f t="shared" ca="1" si="2"/>
        <v>0.83091414298393484</v>
      </c>
      <c r="K29" s="162">
        <v>25</v>
      </c>
      <c r="L29" s="164">
        <f t="shared" ca="1" si="4"/>
        <v>60</v>
      </c>
      <c r="M29" s="164">
        <f t="shared" ca="1" si="5"/>
        <v>8</v>
      </c>
      <c r="N29" s="164">
        <f t="shared" ca="1" si="6"/>
        <v>113</v>
      </c>
      <c r="O29" s="164">
        <f t="shared" ca="1" si="7"/>
        <v>79</v>
      </c>
      <c r="P29" s="175">
        <f t="shared" ca="1" si="8"/>
        <v>0.86530890238914959</v>
      </c>
      <c r="R29" s="162">
        <v>25</v>
      </c>
      <c r="S29" s="164"/>
      <c r="T29" s="164"/>
      <c r="U29" s="164"/>
      <c r="V29" s="164"/>
      <c r="W29" s="175"/>
    </row>
    <row r="30" spans="2:23" ht="15.75" thickTop="1" x14ac:dyDescent="0.25"/>
    <row r="32" spans="2:23" ht="19.5" customHeight="1" x14ac:dyDescent="0.35">
      <c r="G32" s="243" t="s">
        <v>204</v>
      </c>
      <c r="H32" s="245" t="s">
        <v>285</v>
      </c>
      <c r="I32" s="259"/>
      <c r="J32" s="259"/>
      <c r="K32" s="260"/>
      <c r="L32" s="260"/>
      <c r="M32" s="180" t="s">
        <v>140</v>
      </c>
      <c r="N32" s="182" t="s">
        <v>290</v>
      </c>
      <c r="O32" s="270" t="s">
        <v>283</v>
      </c>
    </row>
    <row r="33" spans="7:15" ht="20.25" x14ac:dyDescent="0.35">
      <c r="G33" s="243"/>
      <c r="H33" s="148" t="s">
        <v>292</v>
      </c>
      <c r="I33" s="148" t="s">
        <v>293</v>
      </c>
      <c r="J33" s="148" t="s">
        <v>294</v>
      </c>
      <c r="K33" s="148" t="s">
        <v>295</v>
      </c>
      <c r="L33" s="148" t="s">
        <v>296</v>
      </c>
      <c r="M33" s="179" t="s">
        <v>289</v>
      </c>
      <c r="N33" s="183" t="s">
        <v>291</v>
      </c>
      <c r="O33" s="271"/>
    </row>
    <row r="34" spans="7:15" ht="20.25" x14ac:dyDescent="0.35">
      <c r="G34" s="258"/>
      <c r="H34" s="247" t="s">
        <v>288</v>
      </c>
      <c r="I34" s="261"/>
      <c r="J34" s="261"/>
      <c r="K34" s="261"/>
      <c r="L34" s="262"/>
      <c r="M34" s="181"/>
      <c r="N34" s="184"/>
      <c r="O34" s="272"/>
    </row>
    <row r="35" spans="7:15" ht="20.25" x14ac:dyDescent="0.3">
      <c r="G35" s="36">
        <v>1</v>
      </c>
      <c r="H35" s="155">
        <f ca="1">RANDBETWEEN(10,24)</f>
        <v>15</v>
      </c>
      <c r="I35" s="155">
        <f t="shared" ref="I35:L50" ca="1" si="9">RANDBETWEEN(10,24)</f>
        <v>20</v>
      </c>
      <c r="J35" s="155">
        <f t="shared" ca="1" si="9"/>
        <v>14</v>
      </c>
      <c r="K35" s="155">
        <f t="shared" ca="1" si="9"/>
        <v>11</v>
      </c>
      <c r="L35" s="155">
        <f t="shared" ca="1" si="9"/>
        <v>10</v>
      </c>
      <c r="M35" s="36">
        <f ca="1">RANDBETWEEN(8,15)</f>
        <v>10</v>
      </c>
      <c r="N35" s="36">
        <f ca="1">RANDBETWEEN(180,215)</f>
        <v>211</v>
      </c>
      <c r="O35" s="185">
        <f ca="1">0.18*RAND()+0.8</f>
        <v>0.81309216238179505</v>
      </c>
    </row>
    <row r="36" spans="7:15" ht="20.25" x14ac:dyDescent="0.3">
      <c r="G36" s="36">
        <v>2</v>
      </c>
      <c r="H36" s="155">
        <f t="shared" ref="H36:L59" ca="1" si="10">RANDBETWEEN(10,24)</f>
        <v>12</v>
      </c>
      <c r="I36" s="155">
        <f t="shared" ca="1" si="9"/>
        <v>11</v>
      </c>
      <c r="J36" s="155">
        <f t="shared" ca="1" si="9"/>
        <v>15</v>
      </c>
      <c r="K36" s="155">
        <f t="shared" ca="1" si="9"/>
        <v>17</v>
      </c>
      <c r="L36" s="155">
        <f t="shared" ca="1" si="9"/>
        <v>19</v>
      </c>
      <c r="M36" s="36">
        <f t="shared" ref="M36:M59" ca="1" si="11">RANDBETWEEN(8,15)</f>
        <v>12</v>
      </c>
      <c r="N36" s="36">
        <f t="shared" ref="N36:N59" ca="1" si="12">RANDBETWEEN(180,215)</f>
        <v>210</v>
      </c>
      <c r="O36" s="185">
        <f t="shared" ref="O36:O59" ca="1" si="13">0.18*RAND()+0.8</f>
        <v>0.90451375719551996</v>
      </c>
    </row>
    <row r="37" spans="7:15" ht="20.25" x14ac:dyDescent="0.3">
      <c r="G37" s="36">
        <v>3</v>
      </c>
      <c r="H37" s="155">
        <f t="shared" ca="1" si="10"/>
        <v>11</v>
      </c>
      <c r="I37" s="155">
        <f t="shared" ca="1" si="9"/>
        <v>11</v>
      </c>
      <c r="J37" s="155">
        <f t="shared" ca="1" si="9"/>
        <v>12</v>
      </c>
      <c r="K37" s="155">
        <f t="shared" ca="1" si="9"/>
        <v>23</v>
      </c>
      <c r="L37" s="155">
        <f t="shared" ca="1" si="9"/>
        <v>19</v>
      </c>
      <c r="M37" s="36">
        <f t="shared" ca="1" si="11"/>
        <v>11</v>
      </c>
      <c r="N37" s="36">
        <f t="shared" ca="1" si="12"/>
        <v>197</v>
      </c>
      <c r="O37" s="185">
        <f t="shared" ca="1" si="13"/>
        <v>0.85007356520517985</v>
      </c>
    </row>
    <row r="38" spans="7:15" ht="20.25" x14ac:dyDescent="0.3">
      <c r="G38" s="36">
        <v>4</v>
      </c>
      <c r="H38" s="155">
        <f t="shared" ca="1" si="10"/>
        <v>19</v>
      </c>
      <c r="I38" s="155">
        <f t="shared" ca="1" si="9"/>
        <v>13</v>
      </c>
      <c r="J38" s="155">
        <f t="shared" ca="1" si="9"/>
        <v>23</v>
      </c>
      <c r="K38" s="155">
        <f t="shared" ca="1" si="9"/>
        <v>18</v>
      </c>
      <c r="L38" s="155">
        <f t="shared" ca="1" si="9"/>
        <v>17</v>
      </c>
      <c r="M38" s="36">
        <f t="shared" ca="1" si="11"/>
        <v>8</v>
      </c>
      <c r="N38" s="36">
        <f t="shared" ca="1" si="12"/>
        <v>206</v>
      </c>
      <c r="O38" s="185">
        <f t="shared" ca="1" si="13"/>
        <v>0.93247463376505868</v>
      </c>
    </row>
    <row r="39" spans="7:15" ht="20.25" x14ac:dyDescent="0.3">
      <c r="G39" s="36">
        <v>5</v>
      </c>
      <c r="H39" s="155">
        <f t="shared" ca="1" si="10"/>
        <v>16</v>
      </c>
      <c r="I39" s="155">
        <f t="shared" ca="1" si="9"/>
        <v>23</v>
      </c>
      <c r="J39" s="155">
        <f t="shared" ca="1" si="9"/>
        <v>22</v>
      </c>
      <c r="K39" s="155">
        <f t="shared" ca="1" si="9"/>
        <v>15</v>
      </c>
      <c r="L39" s="155">
        <f t="shared" ca="1" si="9"/>
        <v>21</v>
      </c>
      <c r="M39" s="36">
        <f t="shared" ca="1" si="11"/>
        <v>10</v>
      </c>
      <c r="N39" s="36">
        <f t="shared" ca="1" si="12"/>
        <v>210</v>
      </c>
      <c r="O39" s="185">
        <f t="shared" ca="1" si="13"/>
        <v>0.97171492500918943</v>
      </c>
    </row>
    <row r="40" spans="7:15" ht="20.25" x14ac:dyDescent="0.3">
      <c r="G40" s="36">
        <v>6</v>
      </c>
      <c r="H40" s="155">
        <f t="shared" ca="1" si="10"/>
        <v>12</v>
      </c>
      <c r="I40" s="155">
        <f t="shared" ca="1" si="9"/>
        <v>11</v>
      </c>
      <c r="J40" s="155">
        <f t="shared" ca="1" si="9"/>
        <v>12</v>
      </c>
      <c r="K40" s="155">
        <f t="shared" ca="1" si="9"/>
        <v>16</v>
      </c>
      <c r="L40" s="155">
        <f t="shared" ca="1" si="9"/>
        <v>23</v>
      </c>
      <c r="M40" s="36">
        <f t="shared" ca="1" si="11"/>
        <v>14</v>
      </c>
      <c r="N40" s="36">
        <f t="shared" ca="1" si="12"/>
        <v>207</v>
      </c>
      <c r="O40" s="185">
        <f t="shared" ca="1" si="13"/>
        <v>0.92719297541205847</v>
      </c>
    </row>
    <row r="41" spans="7:15" ht="20.25" x14ac:dyDescent="0.3">
      <c r="G41" s="36">
        <v>7</v>
      </c>
      <c r="H41" s="155">
        <f t="shared" ca="1" si="10"/>
        <v>20</v>
      </c>
      <c r="I41" s="155">
        <f t="shared" ca="1" si="9"/>
        <v>11</v>
      </c>
      <c r="J41" s="155">
        <f t="shared" ca="1" si="9"/>
        <v>19</v>
      </c>
      <c r="K41" s="155">
        <f t="shared" ca="1" si="9"/>
        <v>14</v>
      </c>
      <c r="L41" s="155">
        <f t="shared" ca="1" si="9"/>
        <v>20</v>
      </c>
      <c r="M41" s="36">
        <f t="shared" ca="1" si="11"/>
        <v>15</v>
      </c>
      <c r="N41" s="36">
        <f t="shared" ca="1" si="12"/>
        <v>192</v>
      </c>
      <c r="O41" s="185">
        <f t="shared" ca="1" si="13"/>
        <v>0.91127760056701557</v>
      </c>
    </row>
    <row r="42" spans="7:15" ht="20.25" x14ac:dyDescent="0.3">
      <c r="G42" s="36">
        <v>8</v>
      </c>
      <c r="H42" s="155">
        <f t="shared" ca="1" si="10"/>
        <v>20</v>
      </c>
      <c r="I42" s="155">
        <f t="shared" ca="1" si="9"/>
        <v>21</v>
      </c>
      <c r="J42" s="155">
        <f t="shared" ca="1" si="9"/>
        <v>20</v>
      </c>
      <c r="K42" s="155">
        <f t="shared" ca="1" si="9"/>
        <v>14</v>
      </c>
      <c r="L42" s="155">
        <f t="shared" ca="1" si="9"/>
        <v>23</v>
      </c>
      <c r="M42" s="36">
        <f t="shared" ca="1" si="11"/>
        <v>10</v>
      </c>
      <c r="N42" s="36">
        <f t="shared" ca="1" si="12"/>
        <v>214</v>
      </c>
      <c r="O42" s="185">
        <f t="shared" ca="1" si="13"/>
        <v>0.87392460372947955</v>
      </c>
    </row>
    <row r="43" spans="7:15" ht="20.25" x14ac:dyDescent="0.3">
      <c r="G43" s="36">
        <v>9</v>
      </c>
      <c r="H43" s="155">
        <f t="shared" ca="1" si="10"/>
        <v>18</v>
      </c>
      <c r="I43" s="155">
        <f t="shared" ca="1" si="9"/>
        <v>14</v>
      </c>
      <c r="J43" s="155">
        <f t="shared" ca="1" si="9"/>
        <v>17</v>
      </c>
      <c r="K43" s="155">
        <f t="shared" ca="1" si="9"/>
        <v>24</v>
      </c>
      <c r="L43" s="155">
        <f t="shared" ca="1" si="9"/>
        <v>12</v>
      </c>
      <c r="M43" s="36">
        <f t="shared" ca="1" si="11"/>
        <v>8</v>
      </c>
      <c r="N43" s="36">
        <f t="shared" ca="1" si="12"/>
        <v>209</v>
      </c>
      <c r="O43" s="185">
        <f t="shared" ca="1" si="13"/>
        <v>0.84401356594902077</v>
      </c>
    </row>
    <row r="44" spans="7:15" ht="20.25" x14ac:dyDescent="0.3">
      <c r="G44" s="36">
        <v>10</v>
      </c>
      <c r="H44" s="155">
        <f t="shared" ca="1" si="10"/>
        <v>18</v>
      </c>
      <c r="I44" s="155">
        <f t="shared" ca="1" si="9"/>
        <v>11</v>
      </c>
      <c r="J44" s="155">
        <f t="shared" ca="1" si="9"/>
        <v>10</v>
      </c>
      <c r="K44" s="155">
        <f t="shared" ca="1" si="9"/>
        <v>24</v>
      </c>
      <c r="L44" s="155">
        <f t="shared" ca="1" si="9"/>
        <v>19</v>
      </c>
      <c r="M44" s="36">
        <f t="shared" ca="1" si="11"/>
        <v>11</v>
      </c>
      <c r="N44" s="36">
        <f t="shared" ca="1" si="12"/>
        <v>209</v>
      </c>
      <c r="O44" s="185">
        <f t="shared" ca="1" si="13"/>
        <v>0.83632022395068406</v>
      </c>
    </row>
    <row r="45" spans="7:15" ht="20.25" x14ac:dyDescent="0.3">
      <c r="G45" s="36">
        <v>11</v>
      </c>
      <c r="H45" s="155">
        <f t="shared" ca="1" si="10"/>
        <v>12</v>
      </c>
      <c r="I45" s="155">
        <f t="shared" ca="1" si="9"/>
        <v>17</v>
      </c>
      <c r="J45" s="155">
        <f t="shared" ca="1" si="9"/>
        <v>23</v>
      </c>
      <c r="K45" s="155">
        <f t="shared" ca="1" si="9"/>
        <v>10</v>
      </c>
      <c r="L45" s="155">
        <f t="shared" ca="1" si="9"/>
        <v>12</v>
      </c>
      <c r="M45" s="36">
        <f t="shared" ca="1" si="11"/>
        <v>14</v>
      </c>
      <c r="N45" s="36">
        <f t="shared" ca="1" si="12"/>
        <v>180</v>
      </c>
      <c r="O45" s="185">
        <f t="shared" ca="1" si="13"/>
        <v>0.9611356335048078</v>
      </c>
    </row>
    <row r="46" spans="7:15" ht="20.25" x14ac:dyDescent="0.3">
      <c r="G46" s="36">
        <v>12</v>
      </c>
      <c r="H46" s="155">
        <f t="shared" ca="1" si="10"/>
        <v>22</v>
      </c>
      <c r="I46" s="155">
        <f t="shared" ca="1" si="9"/>
        <v>21</v>
      </c>
      <c r="J46" s="155">
        <f t="shared" ca="1" si="9"/>
        <v>15</v>
      </c>
      <c r="K46" s="155">
        <f t="shared" ca="1" si="9"/>
        <v>20</v>
      </c>
      <c r="L46" s="155">
        <f t="shared" ca="1" si="9"/>
        <v>16</v>
      </c>
      <c r="M46" s="36">
        <f t="shared" ca="1" si="11"/>
        <v>11</v>
      </c>
      <c r="N46" s="36">
        <f t="shared" ca="1" si="12"/>
        <v>198</v>
      </c>
      <c r="O46" s="185">
        <f t="shared" ca="1" si="13"/>
        <v>0.97423236591390117</v>
      </c>
    </row>
    <row r="47" spans="7:15" ht="20.25" x14ac:dyDescent="0.3">
      <c r="G47" s="36">
        <v>13</v>
      </c>
      <c r="H47" s="155">
        <f t="shared" ca="1" si="10"/>
        <v>15</v>
      </c>
      <c r="I47" s="155">
        <f t="shared" ca="1" si="9"/>
        <v>12</v>
      </c>
      <c r="J47" s="155">
        <f t="shared" ca="1" si="9"/>
        <v>10</v>
      </c>
      <c r="K47" s="155">
        <f t="shared" ca="1" si="9"/>
        <v>10</v>
      </c>
      <c r="L47" s="155">
        <f t="shared" ca="1" si="9"/>
        <v>18</v>
      </c>
      <c r="M47" s="36">
        <f t="shared" ca="1" si="11"/>
        <v>13</v>
      </c>
      <c r="N47" s="36">
        <f t="shared" ca="1" si="12"/>
        <v>205</v>
      </c>
      <c r="O47" s="185">
        <f t="shared" ca="1" si="13"/>
        <v>0.82156477863243482</v>
      </c>
    </row>
    <row r="48" spans="7:15" ht="20.25" x14ac:dyDescent="0.3">
      <c r="G48" s="36">
        <v>14</v>
      </c>
      <c r="H48" s="155">
        <f t="shared" ca="1" si="10"/>
        <v>15</v>
      </c>
      <c r="I48" s="155">
        <f t="shared" ca="1" si="9"/>
        <v>11</v>
      </c>
      <c r="J48" s="155">
        <f t="shared" ca="1" si="9"/>
        <v>21</v>
      </c>
      <c r="K48" s="155">
        <f t="shared" ca="1" si="9"/>
        <v>17</v>
      </c>
      <c r="L48" s="155">
        <f t="shared" ca="1" si="9"/>
        <v>19</v>
      </c>
      <c r="M48" s="36">
        <f t="shared" ca="1" si="11"/>
        <v>14</v>
      </c>
      <c r="N48" s="36">
        <f t="shared" ca="1" si="12"/>
        <v>203</v>
      </c>
      <c r="O48" s="185">
        <f t="shared" ca="1" si="13"/>
        <v>0.8623189886288235</v>
      </c>
    </row>
    <row r="49" spans="7:15" ht="20.25" x14ac:dyDescent="0.3">
      <c r="G49" s="36">
        <v>15</v>
      </c>
      <c r="H49" s="155">
        <f t="shared" ca="1" si="10"/>
        <v>18</v>
      </c>
      <c r="I49" s="155">
        <f t="shared" ca="1" si="9"/>
        <v>16</v>
      </c>
      <c r="J49" s="155">
        <f t="shared" ca="1" si="9"/>
        <v>21</v>
      </c>
      <c r="K49" s="155">
        <f t="shared" ca="1" si="9"/>
        <v>19</v>
      </c>
      <c r="L49" s="155">
        <f t="shared" ca="1" si="9"/>
        <v>13</v>
      </c>
      <c r="M49" s="36">
        <f t="shared" ca="1" si="11"/>
        <v>13</v>
      </c>
      <c r="N49" s="36">
        <f t="shared" ca="1" si="12"/>
        <v>185</v>
      </c>
      <c r="O49" s="185">
        <f t="shared" ca="1" si="13"/>
        <v>0.87068587603949366</v>
      </c>
    </row>
    <row r="50" spans="7:15" ht="20.25" x14ac:dyDescent="0.3">
      <c r="G50" s="36">
        <v>16</v>
      </c>
      <c r="H50" s="155">
        <f t="shared" ca="1" si="10"/>
        <v>22</v>
      </c>
      <c r="I50" s="155">
        <f t="shared" ca="1" si="9"/>
        <v>21</v>
      </c>
      <c r="J50" s="155">
        <f t="shared" ca="1" si="9"/>
        <v>18</v>
      </c>
      <c r="K50" s="155">
        <f t="shared" ca="1" si="9"/>
        <v>10</v>
      </c>
      <c r="L50" s="155">
        <f t="shared" ca="1" si="9"/>
        <v>14</v>
      </c>
      <c r="M50" s="36">
        <f t="shared" ca="1" si="11"/>
        <v>8</v>
      </c>
      <c r="N50" s="36">
        <f t="shared" ca="1" si="12"/>
        <v>187</v>
      </c>
      <c r="O50" s="185">
        <f t="shared" ca="1" si="13"/>
        <v>0.96860096668810736</v>
      </c>
    </row>
    <row r="51" spans="7:15" ht="20.25" x14ac:dyDescent="0.3">
      <c r="G51" s="36">
        <v>17</v>
      </c>
      <c r="H51" s="155">
        <f t="shared" ca="1" si="10"/>
        <v>10</v>
      </c>
      <c r="I51" s="155">
        <f t="shared" ca="1" si="10"/>
        <v>13</v>
      </c>
      <c r="J51" s="155">
        <f t="shared" ca="1" si="10"/>
        <v>21</v>
      </c>
      <c r="K51" s="155">
        <f t="shared" ca="1" si="10"/>
        <v>16</v>
      </c>
      <c r="L51" s="155">
        <f t="shared" ca="1" si="10"/>
        <v>12</v>
      </c>
      <c r="M51" s="36">
        <f t="shared" ca="1" si="11"/>
        <v>13</v>
      </c>
      <c r="N51" s="36">
        <f t="shared" ca="1" si="12"/>
        <v>189</v>
      </c>
      <c r="O51" s="185">
        <f t="shared" ca="1" si="13"/>
        <v>0.85423958719397064</v>
      </c>
    </row>
    <row r="52" spans="7:15" ht="20.25" x14ac:dyDescent="0.3">
      <c r="G52" s="36">
        <v>18</v>
      </c>
      <c r="H52" s="155">
        <f t="shared" ca="1" si="10"/>
        <v>21</v>
      </c>
      <c r="I52" s="155">
        <f t="shared" ca="1" si="10"/>
        <v>22</v>
      </c>
      <c r="J52" s="155">
        <f t="shared" ca="1" si="10"/>
        <v>11</v>
      </c>
      <c r="K52" s="155">
        <f t="shared" ca="1" si="10"/>
        <v>15</v>
      </c>
      <c r="L52" s="155">
        <f t="shared" ca="1" si="10"/>
        <v>21</v>
      </c>
      <c r="M52" s="36">
        <f t="shared" ca="1" si="11"/>
        <v>10</v>
      </c>
      <c r="N52" s="36">
        <f t="shared" ca="1" si="12"/>
        <v>201</v>
      </c>
      <c r="O52" s="185">
        <f t="shared" ca="1" si="13"/>
        <v>0.90956539694039507</v>
      </c>
    </row>
    <row r="53" spans="7:15" ht="20.25" x14ac:dyDescent="0.3">
      <c r="G53" s="36">
        <v>19</v>
      </c>
      <c r="H53" s="155">
        <f t="shared" ca="1" si="10"/>
        <v>24</v>
      </c>
      <c r="I53" s="155">
        <f t="shared" ca="1" si="10"/>
        <v>16</v>
      </c>
      <c r="J53" s="155">
        <f t="shared" ca="1" si="10"/>
        <v>21</v>
      </c>
      <c r="K53" s="155">
        <f t="shared" ca="1" si="10"/>
        <v>17</v>
      </c>
      <c r="L53" s="155">
        <f t="shared" ca="1" si="10"/>
        <v>23</v>
      </c>
      <c r="M53" s="36">
        <f t="shared" ca="1" si="11"/>
        <v>9</v>
      </c>
      <c r="N53" s="36">
        <f t="shared" ca="1" si="12"/>
        <v>193</v>
      </c>
      <c r="O53" s="185">
        <f t="shared" ca="1" si="13"/>
        <v>0.81220654440322948</v>
      </c>
    </row>
    <row r="54" spans="7:15" ht="20.25" x14ac:dyDescent="0.3">
      <c r="G54" s="36">
        <v>20</v>
      </c>
      <c r="H54" s="155">
        <f t="shared" ca="1" si="10"/>
        <v>12</v>
      </c>
      <c r="I54" s="155">
        <f t="shared" ca="1" si="10"/>
        <v>13</v>
      </c>
      <c r="J54" s="155">
        <f t="shared" ca="1" si="10"/>
        <v>16</v>
      </c>
      <c r="K54" s="155">
        <f t="shared" ca="1" si="10"/>
        <v>21</v>
      </c>
      <c r="L54" s="155">
        <f t="shared" ca="1" si="10"/>
        <v>13</v>
      </c>
      <c r="M54" s="36">
        <f t="shared" ca="1" si="11"/>
        <v>12</v>
      </c>
      <c r="N54" s="36">
        <f t="shared" ca="1" si="12"/>
        <v>204</v>
      </c>
      <c r="O54" s="185">
        <f t="shared" ca="1" si="13"/>
        <v>0.89499769999561896</v>
      </c>
    </row>
    <row r="55" spans="7:15" ht="20.25" x14ac:dyDescent="0.3">
      <c r="G55" s="36">
        <v>21</v>
      </c>
      <c r="H55" s="155">
        <f t="shared" ca="1" si="10"/>
        <v>10</v>
      </c>
      <c r="I55" s="155">
        <f t="shared" ca="1" si="10"/>
        <v>16</v>
      </c>
      <c r="J55" s="155">
        <f t="shared" ca="1" si="10"/>
        <v>17</v>
      </c>
      <c r="K55" s="155">
        <f t="shared" ca="1" si="10"/>
        <v>17</v>
      </c>
      <c r="L55" s="155">
        <f t="shared" ca="1" si="10"/>
        <v>20</v>
      </c>
      <c r="M55" s="36">
        <f t="shared" ca="1" si="11"/>
        <v>10</v>
      </c>
      <c r="N55" s="36">
        <f t="shared" ca="1" si="12"/>
        <v>198</v>
      </c>
      <c r="O55" s="185">
        <f t="shared" ca="1" si="13"/>
        <v>0.81735468974504655</v>
      </c>
    </row>
    <row r="56" spans="7:15" ht="20.25" x14ac:dyDescent="0.3">
      <c r="G56" s="36">
        <v>22</v>
      </c>
      <c r="H56" s="155">
        <f t="shared" ca="1" si="10"/>
        <v>18</v>
      </c>
      <c r="I56" s="155">
        <f t="shared" ca="1" si="10"/>
        <v>14</v>
      </c>
      <c r="J56" s="155">
        <f t="shared" ca="1" si="10"/>
        <v>21</v>
      </c>
      <c r="K56" s="155">
        <f t="shared" ca="1" si="10"/>
        <v>14</v>
      </c>
      <c r="L56" s="155">
        <f t="shared" ca="1" si="10"/>
        <v>24</v>
      </c>
      <c r="M56" s="36">
        <f t="shared" ca="1" si="11"/>
        <v>9</v>
      </c>
      <c r="N56" s="36">
        <f t="shared" ca="1" si="12"/>
        <v>188</v>
      </c>
      <c r="O56" s="185">
        <f t="shared" ca="1" si="13"/>
        <v>0.82549372055862869</v>
      </c>
    </row>
    <row r="57" spans="7:15" ht="20.25" x14ac:dyDescent="0.3">
      <c r="G57" s="36">
        <v>23</v>
      </c>
      <c r="H57" s="155">
        <f t="shared" ca="1" si="10"/>
        <v>13</v>
      </c>
      <c r="I57" s="155">
        <f t="shared" ca="1" si="10"/>
        <v>18</v>
      </c>
      <c r="J57" s="155">
        <f t="shared" ca="1" si="10"/>
        <v>10</v>
      </c>
      <c r="K57" s="155">
        <f t="shared" ca="1" si="10"/>
        <v>13</v>
      </c>
      <c r="L57" s="155">
        <f t="shared" ca="1" si="10"/>
        <v>11</v>
      </c>
      <c r="M57" s="36">
        <f t="shared" ca="1" si="11"/>
        <v>9</v>
      </c>
      <c r="N57" s="36">
        <f t="shared" ca="1" si="12"/>
        <v>188</v>
      </c>
      <c r="O57" s="185">
        <f t="shared" ca="1" si="13"/>
        <v>0.82540396654060866</v>
      </c>
    </row>
    <row r="58" spans="7:15" ht="20.25" x14ac:dyDescent="0.3">
      <c r="G58" s="36">
        <v>24</v>
      </c>
      <c r="H58" s="155">
        <f t="shared" ca="1" si="10"/>
        <v>17</v>
      </c>
      <c r="I58" s="155">
        <f t="shared" ca="1" si="10"/>
        <v>20</v>
      </c>
      <c r="J58" s="155">
        <f t="shared" ca="1" si="10"/>
        <v>22</v>
      </c>
      <c r="K58" s="155">
        <f t="shared" ca="1" si="10"/>
        <v>24</v>
      </c>
      <c r="L58" s="155">
        <f t="shared" ca="1" si="10"/>
        <v>19</v>
      </c>
      <c r="M58" s="36">
        <f t="shared" ca="1" si="11"/>
        <v>9</v>
      </c>
      <c r="N58" s="36">
        <f t="shared" ca="1" si="12"/>
        <v>203</v>
      </c>
      <c r="O58" s="185">
        <f t="shared" ca="1" si="13"/>
        <v>0.89782067547816313</v>
      </c>
    </row>
    <row r="59" spans="7:15" ht="20.25" x14ac:dyDescent="0.3">
      <c r="G59" s="36">
        <v>25</v>
      </c>
      <c r="H59" s="155">
        <f t="shared" ca="1" si="10"/>
        <v>23</v>
      </c>
      <c r="I59" s="155">
        <f t="shared" ca="1" si="10"/>
        <v>14</v>
      </c>
      <c r="J59" s="155">
        <f t="shared" ca="1" si="10"/>
        <v>20</v>
      </c>
      <c r="K59" s="155">
        <f t="shared" ca="1" si="10"/>
        <v>12</v>
      </c>
      <c r="L59" s="155">
        <f t="shared" ca="1" si="10"/>
        <v>19</v>
      </c>
      <c r="M59" s="36">
        <f t="shared" ca="1" si="11"/>
        <v>14</v>
      </c>
      <c r="N59" s="36">
        <f t="shared" ca="1" si="12"/>
        <v>196</v>
      </c>
      <c r="O59" s="185">
        <f t="shared" ca="1" si="13"/>
        <v>0.82255446154061274</v>
      </c>
    </row>
    <row r="61" spans="7:15" ht="20.25" x14ac:dyDescent="0.35">
      <c r="G61" s="243" t="s">
        <v>204</v>
      </c>
      <c r="H61" s="245" t="s">
        <v>297</v>
      </c>
      <c r="I61" s="259"/>
      <c r="J61" s="259"/>
      <c r="K61" s="260"/>
      <c r="L61" s="260"/>
      <c r="M61" s="180" t="s">
        <v>140</v>
      </c>
      <c r="N61" s="182" t="s">
        <v>303</v>
      </c>
      <c r="O61" s="270" t="s">
        <v>283</v>
      </c>
    </row>
    <row r="62" spans="7:15" ht="20.25" x14ac:dyDescent="0.35">
      <c r="G62" s="243"/>
      <c r="H62" s="148" t="s">
        <v>298</v>
      </c>
      <c r="I62" s="148" t="s">
        <v>299</v>
      </c>
      <c r="J62" s="148" t="s">
        <v>300</v>
      </c>
      <c r="K62" s="148" t="s">
        <v>301</v>
      </c>
      <c r="L62" s="148" t="s">
        <v>302</v>
      </c>
      <c r="M62" s="179" t="s">
        <v>289</v>
      </c>
      <c r="N62" s="183" t="s">
        <v>304</v>
      </c>
      <c r="O62" s="271"/>
    </row>
    <row r="63" spans="7:15" ht="20.25" x14ac:dyDescent="0.35">
      <c r="G63" s="258"/>
      <c r="H63" s="247" t="s">
        <v>288</v>
      </c>
      <c r="I63" s="261"/>
      <c r="J63" s="261"/>
      <c r="K63" s="261"/>
      <c r="L63" s="262"/>
      <c r="M63" s="181"/>
      <c r="N63" s="184"/>
      <c r="O63" s="272"/>
    </row>
    <row r="64" spans="7:15" ht="20.25" x14ac:dyDescent="0.3">
      <c r="G64" s="36">
        <v>1</v>
      </c>
      <c r="H64" s="155">
        <f ca="1">RANDBETWEEN(5,15)</f>
        <v>14</v>
      </c>
      <c r="I64" s="155">
        <f ca="1">RANDBETWEEN(15,35)</f>
        <v>28</v>
      </c>
      <c r="J64" s="155">
        <f ca="1">RANDBETWEEN(25,55)</f>
        <v>29</v>
      </c>
      <c r="K64" s="155">
        <f ca="1">RANDBETWEEN(25,55)</f>
        <v>43</v>
      </c>
      <c r="L64" s="155">
        <f ca="1">RANDBETWEEN(5,15)</f>
        <v>12</v>
      </c>
      <c r="M64" s="36">
        <f ca="1">RANDBETWEEN(1,5)</f>
        <v>2</v>
      </c>
      <c r="N64" s="36">
        <f ca="1">RANDBETWEEN(98,101)</f>
        <v>99</v>
      </c>
      <c r="O64" s="185">
        <f ca="1">0.18*RAND()+0.8</f>
        <v>0.92546136965219283</v>
      </c>
    </row>
    <row r="65" spans="7:15" ht="20.25" x14ac:dyDescent="0.3">
      <c r="G65" s="36">
        <v>2</v>
      </c>
      <c r="H65" s="155">
        <f t="shared" ref="H65:H88" ca="1" si="14">RANDBETWEEN(5,15)</f>
        <v>8</v>
      </c>
      <c r="I65" s="155">
        <f t="shared" ref="I65:I88" ca="1" si="15">RANDBETWEEN(15,35)</f>
        <v>20</v>
      </c>
      <c r="J65" s="155">
        <f t="shared" ref="J65:K88" ca="1" si="16">RANDBETWEEN(25,55)</f>
        <v>47</v>
      </c>
      <c r="K65" s="155">
        <f t="shared" ca="1" si="16"/>
        <v>31</v>
      </c>
      <c r="L65" s="155">
        <f t="shared" ref="L65:L88" ca="1" si="17">RANDBETWEEN(5,15)</f>
        <v>9</v>
      </c>
      <c r="M65" s="36">
        <f t="shared" ref="M65:M88" ca="1" si="18">RANDBETWEEN(1,5)</f>
        <v>4</v>
      </c>
      <c r="N65" s="36">
        <f t="shared" ref="N65:N88" ca="1" si="19">RANDBETWEEN(98,101)</f>
        <v>100</v>
      </c>
      <c r="O65" s="185">
        <f t="shared" ref="O65:O88" ca="1" si="20">0.18*RAND()+0.8</f>
        <v>0.88633142796988873</v>
      </c>
    </row>
    <row r="66" spans="7:15" ht="20.25" x14ac:dyDescent="0.3">
      <c r="G66" s="36">
        <v>3</v>
      </c>
      <c r="H66" s="155">
        <f t="shared" ca="1" si="14"/>
        <v>7</v>
      </c>
      <c r="I66" s="155">
        <f t="shared" ca="1" si="15"/>
        <v>22</v>
      </c>
      <c r="J66" s="155">
        <f t="shared" ca="1" si="16"/>
        <v>36</v>
      </c>
      <c r="K66" s="155">
        <f t="shared" ca="1" si="16"/>
        <v>40</v>
      </c>
      <c r="L66" s="155">
        <f t="shared" ca="1" si="17"/>
        <v>11</v>
      </c>
      <c r="M66" s="36">
        <f t="shared" ca="1" si="18"/>
        <v>3</v>
      </c>
      <c r="N66" s="36">
        <f t="shared" ca="1" si="19"/>
        <v>101</v>
      </c>
      <c r="O66" s="185">
        <f t="shared" ca="1" si="20"/>
        <v>0.88621719040260682</v>
      </c>
    </row>
    <row r="67" spans="7:15" ht="20.25" x14ac:dyDescent="0.3">
      <c r="G67" s="36">
        <v>4</v>
      </c>
      <c r="H67" s="155">
        <f t="shared" ca="1" si="14"/>
        <v>8</v>
      </c>
      <c r="I67" s="155">
        <f t="shared" ca="1" si="15"/>
        <v>27</v>
      </c>
      <c r="J67" s="155">
        <f t="shared" ca="1" si="16"/>
        <v>53</v>
      </c>
      <c r="K67" s="155">
        <f t="shared" ca="1" si="16"/>
        <v>50</v>
      </c>
      <c r="L67" s="155">
        <f t="shared" ca="1" si="17"/>
        <v>12</v>
      </c>
      <c r="M67" s="36">
        <f t="shared" ca="1" si="18"/>
        <v>1</v>
      </c>
      <c r="N67" s="36">
        <f t="shared" ca="1" si="19"/>
        <v>101</v>
      </c>
      <c r="O67" s="185">
        <f t="shared" ca="1" si="20"/>
        <v>0.9152146235451375</v>
      </c>
    </row>
    <row r="68" spans="7:15" ht="20.25" x14ac:dyDescent="0.3">
      <c r="G68" s="36">
        <v>5</v>
      </c>
      <c r="H68" s="155">
        <f t="shared" ca="1" si="14"/>
        <v>11</v>
      </c>
      <c r="I68" s="155">
        <f t="shared" ca="1" si="15"/>
        <v>21</v>
      </c>
      <c r="J68" s="155">
        <f t="shared" ca="1" si="16"/>
        <v>37</v>
      </c>
      <c r="K68" s="155">
        <f t="shared" ca="1" si="16"/>
        <v>52</v>
      </c>
      <c r="L68" s="155">
        <f t="shared" ca="1" si="17"/>
        <v>11</v>
      </c>
      <c r="M68" s="36">
        <f t="shared" ca="1" si="18"/>
        <v>1</v>
      </c>
      <c r="N68" s="36">
        <f t="shared" ca="1" si="19"/>
        <v>99</v>
      </c>
      <c r="O68" s="185">
        <f t="shared" ca="1" si="20"/>
        <v>0.97216246491524472</v>
      </c>
    </row>
    <row r="69" spans="7:15" ht="20.25" x14ac:dyDescent="0.3">
      <c r="G69" s="36">
        <v>6</v>
      </c>
      <c r="H69" s="155">
        <f t="shared" ca="1" si="14"/>
        <v>12</v>
      </c>
      <c r="I69" s="155">
        <f t="shared" ca="1" si="15"/>
        <v>34</v>
      </c>
      <c r="J69" s="155">
        <f t="shared" ca="1" si="16"/>
        <v>49</v>
      </c>
      <c r="K69" s="155">
        <f t="shared" ca="1" si="16"/>
        <v>28</v>
      </c>
      <c r="L69" s="155">
        <f t="shared" ca="1" si="17"/>
        <v>8</v>
      </c>
      <c r="M69" s="36">
        <f t="shared" ca="1" si="18"/>
        <v>5</v>
      </c>
      <c r="N69" s="36">
        <f t="shared" ca="1" si="19"/>
        <v>98</v>
      </c>
      <c r="O69" s="185">
        <f t="shared" ca="1" si="20"/>
        <v>0.87573355261580987</v>
      </c>
    </row>
    <row r="70" spans="7:15" ht="20.25" x14ac:dyDescent="0.3">
      <c r="G70" s="36">
        <v>7</v>
      </c>
      <c r="H70" s="155">
        <f t="shared" ca="1" si="14"/>
        <v>15</v>
      </c>
      <c r="I70" s="155">
        <f t="shared" ca="1" si="15"/>
        <v>32</v>
      </c>
      <c r="J70" s="155">
        <f t="shared" ca="1" si="16"/>
        <v>28</v>
      </c>
      <c r="K70" s="155">
        <f t="shared" ca="1" si="16"/>
        <v>33</v>
      </c>
      <c r="L70" s="155">
        <f t="shared" ca="1" si="17"/>
        <v>10</v>
      </c>
      <c r="M70" s="36">
        <f t="shared" ca="1" si="18"/>
        <v>2</v>
      </c>
      <c r="N70" s="36">
        <f t="shared" ca="1" si="19"/>
        <v>99</v>
      </c>
      <c r="O70" s="185">
        <f t="shared" ca="1" si="20"/>
        <v>0.80533186233564025</v>
      </c>
    </row>
    <row r="71" spans="7:15" ht="20.25" x14ac:dyDescent="0.3">
      <c r="G71" s="36">
        <v>8</v>
      </c>
      <c r="H71" s="155">
        <f t="shared" ca="1" si="14"/>
        <v>5</v>
      </c>
      <c r="I71" s="155">
        <f t="shared" ca="1" si="15"/>
        <v>35</v>
      </c>
      <c r="J71" s="155">
        <f t="shared" ca="1" si="16"/>
        <v>54</v>
      </c>
      <c r="K71" s="155">
        <f t="shared" ca="1" si="16"/>
        <v>51</v>
      </c>
      <c r="L71" s="155">
        <f t="shared" ca="1" si="17"/>
        <v>10</v>
      </c>
      <c r="M71" s="36">
        <f t="shared" ca="1" si="18"/>
        <v>5</v>
      </c>
      <c r="N71" s="36">
        <f t="shared" ca="1" si="19"/>
        <v>99</v>
      </c>
      <c r="O71" s="185">
        <f t="shared" ca="1" si="20"/>
        <v>0.88223433666271589</v>
      </c>
    </row>
    <row r="72" spans="7:15" ht="20.25" x14ac:dyDescent="0.3">
      <c r="G72" s="36">
        <v>9</v>
      </c>
      <c r="H72" s="155">
        <f t="shared" ca="1" si="14"/>
        <v>9</v>
      </c>
      <c r="I72" s="155">
        <f t="shared" ca="1" si="15"/>
        <v>24</v>
      </c>
      <c r="J72" s="155">
        <f t="shared" ca="1" si="16"/>
        <v>43</v>
      </c>
      <c r="K72" s="155">
        <f t="shared" ca="1" si="16"/>
        <v>54</v>
      </c>
      <c r="L72" s="155">
        <f t="shared" ca="1" si="17"/>
        <v>15</v>
      </c>
      <c r="M72" s="36">
        <f t="shared" ca="1" si="18"/>
        <v>1</v>
      </c>
      <c r="N72" s="36">
        <f t="shared" ca="1" si="19"/>
        <v>99</v>
      </c>
      <c r="O72" s="185">
        <f t="shared" ca="1" si="20"/>
        <v>0.94636050546861716</v>
      </c>
    </row>
    <row r="73" spans="7:15" ht="20.25" x14ac:dyDescent="0.3">
      <c r="G73" s="36">
        <v>10</v>
      </c>
      <c r="H73" s="155">
        <f t="shared" ca="1" si="14"/>
        <v>14</v>
      </c>
      <c r="I73" s="155">
        <f t="shared" ca="1" si="15"/>
        <v>32</v>
      </c>
      <c r="J73" s="155">
        <f t="shared" ca="1" si="16"/>
        <v>29</v>
      </c>
      <c r="K73" s="155">
        <f t="shared" ca="1" si="16"/>
        <v>41</v>
      </c>
      <c r="L73" s="155">
        <f t="shared" ca="1" si="17"/>
        <v>8</v>
      </c>
      <c r="M73" s="36">
        <f t="shared" ca="1" si="18"/>
        <v>5</v>
      </c>
      <c r="N73" s="36">
        <f t="shared" ca="1" si="19"/>
        <v>100</v>
      </c>
      <c r="O73" s="185">
        <f t="shared" ca="1" si="20"/>
        <v>0.9085903925266372</v>
      </c>
    </row>
    <row r="74" spans="7:15" ht="20.25" x14ac:dyDescent="0.3">
      <c r="G74" s="36">
        <v>11</v>
      </c>
      <c r="H74" s="155">
        <f t="shared" ca="1" si="14"/>
        <v>13</v>
      </c>
      <c r="I74" s="155">
        <f t="shared" ca="1" si="15"/>
        <v>18</v>
      </c>
      <c r="J74" s="155">
        <f t="shared" ca="1" si="16"/>
        <v>36</v>
      </c>
      <c r="K74" s="155">
        <f t="shared" ca="1" si="16"/>
        <v>46</v>
      </c>
      <c r="L74" s="155">
        <f t="shared" ca="1" si="17"/>
        <v>9</v>
      </c>
      <c r="M74" s="36">
        <f t="shared" ca="1" si="18"/>
        <v>3</v>
      </c>
      <c r="N74" s="36">
        <f t="shared" ca="1" si="19"/>
        <v>99</v>
      </c>
      <c r="O74" s="185">
        <f t="shared" ca="1" si="20"/>
        <v>0.83272175685438565</v>
      </c>
    </row>
    <row r="75" spans="7:15" ht="20.25" x14ac:dyDescent="0.3">
      <c r="G75" s="36">
        <v>12</v>
      </c>
      <c r="H75" s="155">
        <f t="shared" ca="1" si="14"/>
        <v>10</v>
      </c>
      <c r="I75" s="155">
        <f t="shared" ca="1" si="15"/>
        <v>20</v>
      </c>
      <c r="J75" s="155">
        <f t="shared" ca="1" si="16"/>
        <v>42</v>
      </c>
      <c r="K75" s="155">
        <f t="shared" ca="1" si="16"/>
        <v>31</v>
      </c>
      <c r="L75" s="155">
        <f t="shared" ca="1" si="17"/>
        <v>10</v>
      </c>
      <c r="M75" s="36">
        <f t="shared" ca="1" si="18"/>
        <v>3</v>
      </c>
      <c r="N75" s="36">
        <f t="shared" ca="1" si="19"/>
        <v>101</v>
      </c>
      <c r="O75" s="185">
        <f t="shared" ca="1" si="20"/>
        <v>0.93751215460751158</v>
      </c>
    </row>
    <row r="76" spans="7:15" ht="20.25" x14ac:dyDescent="0.3">
      <c r="G76" s="36">
        <v>13</v>
      </c>
      <c r="H76" s="155">
        <f t="shared" ca="1" si="14"/>
        <v>10</v>
      </c>
      <c r="I76" s="155">
        <f t="shared" ca="1" si="15"/>
        <v>21</v>
      </c>
      <c r="J76" s="155">
        <f t="shared" ca="1" si="16"/>
        <v>44</v>
      </c>
      <c r="K76" s="155">
        <f t="shared" ca="1" si="16"/>
        <v>37</v>
      </c>
      <c r="L76" s="155">
        <f t="shared" ca="1" si="17"/>
        <v>5</v>
      </c>
      <c r="M76" s="36">
        <f t="shared" ca="1" si="18"/>
        <v>4</v>
      </c>
      <c r="N76" s="36">
        <f t="shared" ca="1" si="19"/>
        <v>98</v>
      </c>
      <c r="O76" s="185">
        <f t="shared" ca="1" si="20"/>
        <v>0.91416874851262375</v>
      </c>
    </row>
    <row r="77" spans="7:15" ht="20.25" x14ac:dyDescent="0.3">
      <c r="G77" s="36">
        <v>14</v>
      </c>
      <c r="H77" s="155">
        <f t="shared" ca="1" si="14"/>
        <v>15</v>
      </c>
      <c r="I77" s="155">
        <f t="shared" ca="1" si="15"/>
        <v>21</v>
      </c>
      <c r="J77" s="155">
        <f t="shared" ca="1" si="16"/>
        <v>32</v>
      </c>
      <c r="K77" s="155">
        <f t="shared" ca="1" si="16"/>
        <v>48</v>
      </c>
      <c r="L77" s="155">
        <f t="shared" ca="1" si="17"/>
        <v>14</v>
      </c>
      <c r="M77" s="36">
        <f t="shared" ca="1" si="18"/>
        <v>3</v>
      </c>
      <c r="N77" s="36">
        <f t="shared" ca="1" si="19"/>
        <v>99</v>
      </c>
      <c r="O77" s="185">
        <f t="shared" ca="1" si="20"/>
        <v>0.87547136076572352</v>
      </c>
    </row>
    <row r="78" spans="7:15" ht="20.25" x14ac:dyDescent="0.3">
      <c r="G78" s="36">
        <v>15</v>
      </c>
      <c r="H78" s="155">
        <f t="shared" ca="1" si="14"/>
        <v>15</v>
      </c>
      <c r="I78" s="155">
        <f t="shared" ca="1" si="15"/>
        <v>28</v>
      </c>
      <c r="J78" s="155">
        <f t="shared" ca="1" si="16"/>
        <v>28</v>
      </c>
      <c r="K78" s="155">
        <f t="shared" ca="1" si="16"/>
        <v>51</v>
      </c>
      <c r="L78" s="155">
        <f t="shared" ca="1" si="17"/>
        <v>7</v>
      </c>
      <c r="M78" s="36">
        <f t="shared" ca="1" si="18"/>
        <v>2</v>
      </c>
      <c r="N78" s="36">
        <f t="shared" ca="1" si="19"/>
        <v>101</v>
      </c>
      <c r="O78" s="185">
        <f t="shared" ca="1" si="20"/>
        <v>0.84533946388356662</v>
      </c>
    </row>
    <row r="79" spans="7:15" ht="20.25" x14ac:dyDescent="0.3">
      <c r="G79" s="36">
        <v>16</v>
      </c>
      <c r="H79" s="155">
        <f t="shared" ca="1" si="14"/>
        <v>11</v>
      </c>
      <c r="I79" s="155">
        <f t="shared" ca="1" si="15"/>
        <v>18</v>
      </c>
      <c r="J79" s="155">
        <f t="shared" ca="1" si="16"/>
        <v>31</v>
      </c>
      <c r="K79" s="155">
        <f t="shared" ca="1" si="16"/>
        <v>28</v>
      </c>
      <c r="L79" s="155">
        <f t="shared" ca="1" si="17"/>
        <v>10</v>
      </c>
      <c r="M79" s="36">
        <f t="shared" ca="1" si="18"/>
        <v>4</v>
      </c>
      <c r="N79" s="36">
        <f t="shared" ca="1" si="19"/>
        <v>98</v>
      </c>
      <c r="O79" s="185">
        <f t="shared" ca="1" si="20"/>
        <v>0.83836464328259785</v>
      </c>
    </row>
    <row r="80" spans="7:15" ht="20.25" x14ac:dyDescent="0.3">
      <c r="G80" s="36">
        <v>17</v>
      </c>
      <c r="H80" s="155">
        <f t="shared" ca="1" si="14"/>
        <v>9</v>
      </c>
      <c r="I80" s="155">
        <f t="shared" ca="1" si="15"/>
        <v>25</v>
      </c>
      <c r="J80" s="155">
        <f t="shared" ca="1" si="16"/>
        <v>54</v>
      </c>
      <c r="K80" s="155">
        <f t="shared" ca="1" si="16"/>
        <v>50</v>
      </c>
      <c r="L80" s="155">
        <f t="shared" ca="1" si="17"/>
        <v>12</v>
      </c>
      <c r="M80" s="36">
        <f t="shared" ca="1" si="18"/>
        <v>3</v>
      </c>
      <c r="N80" s="36">
        <f t="shared" ca="1" si="19"/>
        <v>98</v>
      </c>
      <c r="O80" s="185">
        <f t="shared" ca="1" si="20"/>
        <v>0.82907572034331178</v>
      </c>
    </row>
    <row r="81" spans="7:15" ht="20.25" x14ac:dyDescent="0.3">
      <c r="G81" s="36">
        <v>18</v>
      </c>
      <c r="H81" s="155">
        <f t="shared" ca="1" si="14"/>
        <v>8</v>
      </c>
      <c r="I81" s="155">
        <f t="shared" ca="1" si="15"/>
        <v>35</v>
      </c>
      <c r="J81" s="155">
        <f t="shared" ca="1" si="16"/>
        <v>36</v>
      </c>
      <c r="K81" s="155">
        <f t="shared" ca="1" si="16"/>
        <v>53</v>
      </c>
      <c r="L81" s="155">
        <f t="shared" ca="1" si="17"/>
        <v>10</v>
      </c>
      <c r="M81" s="36">
        <f t="shared" ca="1" si="18"/>
        <v>2</v>
      </c>
      <c r="N81" s="36">
        <f t="shared" ca="1" si="19"/>
        <v>100</v>
      </c>
      <c r="O81" s="185">
        <f t="shared" ca="1" si="20"/>
        <v>0.93132110351627795</v>
      </c>
    </row>
    <row r="82" spans="7:15" ht="20.25" x14ac:dyDescent="0.3">
      <c r="G82" s="36">
        <v>19</v>
      </c>
      <c r="H82" s="155">
        <f t="shared" ca="1" si="14"/>
        <v>11</v>
      </c>
      <c r="I82" s="155">
        <f t="shared" ca="1" si="15"/>
        <v>34</v>
      </c>
      <c r="J82" s="155">
        <f t="shared" ca="1" si="16"/>
        <v>25</v>
      </c>
      <c r="K82" s="155">
        <f t="shared" ca="1" si="16"/>
        <v>33</v>
      </c>
      <c r="L82" s="155">
        <f t="shared" ca="1" si="17"/>
        <v>8</v>
      </c>
      <c r="M82" s="36">
        <f t="shared" ca="1" si="18"/>
        <v>3</v>
      </c>
      <c r="N82" s="36">
        <f t="shared" ca="1" si="19"/>
        <v>98</v>
      </c>
      <c r="O82" s="185">
        <f t="shared" ca="1" si="20"/>
        <v>0.85559711924495818</v>
      </c>
    </row>
    <row r="83" spans="7:15" ht="20.25" x14ac:dyDescent="0.3">
      <c r="G83" s="36">
        <v>20</v>
      </c>
      <c r="H83" s="155">
        <f t="shared" ca="1" si="14"/>
        <v>15</v>
      </c>
      <c r="I83" s="155">
        <f t="shared" ca="1" si="15"/>
        <v>19</v>
      </c>
      <c r="J83" s="155">
        <f t="shared" ca="1" si="16"/>
        <v>32</v>
      </c>
      <c r="K83" s="155">
        <f t="shared" ca="1" si="16"/>
        <v>55</v>
      </c>
      <c r="L83" s="155">
        <f t="shared" ca="1" si="17"/>
        <v>7</v>
      </c>
      <c r="M83" s="36">
        <f t="shared" ca="1" si="18"/>
        <v>2</v>
      </c>
      <c r="N83" s="36">
        <f t="shared" ca="1" si="19"/>
        <v>98</v>
      </c>
      <c r="O83" s="185">
        <f t="shared" ca="1" si="20"/>
        <v>0.92175225638608738</v>
      </c>
    </row>
    <row r="84" spans="7:15" ht="20.25" x14ac:dyDescent="0.3">
      <c r="G84" s="36">
        <v>21</v>
      </c>
      <c r="H84" s="155">
        <f t="shared" ca="1" si="14"/>
        <v>15</v>
      </c>
      <c r="I84" s="155">
        <f t="shared" ca="1" si="15"/>
        <v>20</v>
      </c>
      <c r="J84" s="155">
        <f t="shared" ca="1" si="16"/>
        <v>45</v>
      </c>
      <c r="K84" s="155">
        <f t="shared" ca="1" si="16"/>
        <v>35</v>
      </c>
      <c r="L84" s="155">
        <f t="shared" ca="1" si="17"/>
        <v>7</v>
      </c>
      <c r="M84" s="36">
        <f t="shared" ca="1" si="18"/>
        <v>3</v>
      </c>
      <c r="N84" s="36">
        <f t="shared" ca="1" si="19"/>
        <v>101</v>
      </c>
      <c r="O84" s="185">
        <f t="shared" ca="1" si="20"/>
        <v>0.86944940450236352</v>
      </c>
    </row>
    <row r="85" spans="7:15" ht="20.25" x14ac:dyDescent="0.3">
      <c r="G85" s="36">
        <v>22</v>
      </c>
      <c r="H85" s="155">
        <f t="shared" ca="1" si="14"/>
        <v>12</v>
      </c>
      <c r="I85" s="155">
        <f t="shared" ca="1" si="15"/>
        <v>25</v>
      </c>
      <c r="J85" s="155">
        <f t="shared" ca="1" si="16"/>
        <v>37</v>
      </c>
      <c r="K85" s="155">
        <f t="shared" ca="1" si="16"/>
        <v>53</v>
      </c>
      <c r="L85" s="155">
        <f t="shared" ca="1" si="17"/>
        <v>10</v>
      </c>
      <c r="M85" s="36">
        <f t="shared" ca="1" si="18"/>
        <v>3</v>
      </c>
      <c r="N85" s="36">
        <f t="shared" ca="1" si="19"/>
        <v>99</v>
      </c>
      <c r="O85" s="185">
        <f t="shared" ca="1" si="20"/>
        <v>0.9067416789972933</v>
      </c>
    </row>
    <row r="86" spans="7:15" ht="20.25" x14ac:dyDescent="0.3">
      <c r="G86" s="36">
        <v>23</v>
      </c>
      <c r="H86" s="155">
        <f t="shared" ca="1" si="14"/>
        <v>15</v>
      </c>
      <c r="I86" s="155">
        <f t="shared" ca="1" si="15"/>
        <v>31</v>
      </c>
      <c r="J86" s="155">
        <f t="shared" ca="1" si="16"/>
        <v>40</v>
      </c>
      <c r="K86" s="155">
        <f t="shared" ca="1" si="16"/>
        <v>37</v>
      </c>
      <c r="L86" s="155">
        <f t="shared" ca="1" si="17"/>
        <v>10</v>
      </c>
      <c r="M86" s="36">
        <f t="shared" ca="1" si="18"/>
        <v>4</v>
      </c>
      <c r="N86" s="36">
        <f t="shared" ca="1" si="19"/>
        <v>98</v>
      </c>
      <c r="O86" s="185">
        <f t="shared" ca="1" si="20"/>
        <v>0.8397477868754738</v>
      </c>
    </row>
    <row r="87" spans="7:15" ht="20.25" x14ac:dyDescent="0.3">
      <c r="G87" s="36">
        <v>24</v>
      </c>
      <c r="H87" s="155">
        <f t="shared" ca="1" si="14"/>
        <v>12</v>
      </c>
      <c r="I87" s="155">
        <f t="shared" ca="1" si="15"/>
        <v>33</v>
      </c>
      <c r="J87" s="155">
        <f t="shared" ca="1" si="16"/>
        <v>29</v>
      </c>
      <c r="K87" s="155">
        <f t="shared" ca="1" si="16"/>
        <v>38</v>
      </c>
      <c r="L87" s="155">
        <f t="shared" ca="1" si="17"/>
        <v>8</v>
      </c>
      <c r="M87" s="36">
        <f t="shared" ca="1" si="18"/>
        <v>4</v>
      </c>
      <c r="N87" s="36">
        <f t="shared" ca="1" si="19"/>
        <v>99</v>
      </c>
      <c r="O87" s="185">
        <f t="shared" ca="1" si="20"/>
        <v>0.92393178699847311</v>
      </c>
    </row>
    <row r="88" spans="7:15" ht="20.25" x14ac:dyDescent="0.3">
      <c r="G88" s="36">
        <v>25</v>
      </c>
      <c r="H88" s="155">
        <f t="shared" ca="1" si="14"/>
        <v>15</v>
      </c>
      <c r="I88" s="155">
        <f t="shared" ca="1" si="15"/>
        <v>18</v>
      </c>
      <c r="J88" s="155">
        <f t="shared" ca="1" si="16"/>
        <v>27</v>
      </c>
      <c r="K88" s="155">
        <f t="shared" ca="1" si="16"/>
        <v>54</v>
      </c>
      <c r="L88" s="155">
        <f t="shared" ca="1" si="17"/>
        <v>14</v>
      </c>
      <c r="M88" s="36">
        <f t="shared" ca="1" si="18"/>
        <v>1</v>
      </c>
      <c r="N88" s="36">
        <f t="shared" ca="1" si="19"/>
        <v>98</v>
      </c>
      <c r="O88" s="185">
        <f t="shared" ca="1" si="20"/>
        <v>0.82347331099555565</v>
      </c>
    </row>
  </sheetData>
  <mergeCells count="13">
    <mergeCell ref="G32:G34"/>
    <mergeCell ref="H32:L32"/>
    <mergeCell ref="H34:L34"/>
    <mergeCell ref="O32:O34"/>
    <mergeCell ref="G61:G63"/>
    <mergeCell ref="H61:L61"/>
    <mergeCell ref="O61:O63"/>
    <mergeCell ref="H63:L63"/>
    <mergeCell ref="B2:B4"/>
    <mergeCell ref="C2:G2"/>
    <mergeCell ref="C4:G4"/>
    <mergeCell ref="H2:H4"/>
    <mergeCell ref="I2:I4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4033" r:id="rId3">
          <objectPr defaultSize="0" autoPict="0" r:id="rId4">
            <anchor moveWithCells="1" sizeWithCells="1">
              <from>
                <xdr:col>13</xdr:col>
                <xdr:colOff>47625</xdr:colOff>
                <xdr:row>3</xdr:row>
                <xdr:rowOff>47625</xdr:rowOff>
              </from>
              <to>
                <xdr:col>13</xdr:col>
                <xdr:colOff>542925</xdr:colOff>
                <xdr:row>3</xdr:row>
                <xdr:rowOff>409575</xdr:rowOff>
              </to>
            </anchor>
          </objectPr>
        </oleObject>
      </mc:Choice>
      <mc:Fallback>
        <oleObject progId="Equation.3" shapeId="44033" r:id="rId3"/>
      </mc:Fallback>
    </mc:AlternateContent>
  </oleObjec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8"/>
  <sheetViews>
    <sheetView topLeftCell="A16" workbookViewId="0">
      <selection activeCell="G30" sqref="G30:K57"/>
    </sheetView>
  </sheetViews>
  <sheetFormatPr defaultRowHeight="18.75" x14ac:dyDescent="0.3"/>
  <cols>
    <col min="1" max="1" width="9.140625" style="17"/>
    <col min="2" max="2" width="15.7109375" style="17" bestFit="1" customWidth="1"/>
    <col min="3" max="4" width="9.140625" style="17"/>
    <col min="5" max="5" width="13.7109375" style="17" customWidth="1"/>
    <col min="6" max="6" width="4.5703125" style="17" customWidth="1"/>
    <col min="7" max="10" width="9.140625" style="17"/>
    <col min="11" max="11" width="13.28515625" style="17" customWidth="1"/>
    <col min="12" max="12" width="4.140625" style="17" customWidth="1"/>
    <col min="13" max="16" width="9.140625" style="17"/>
    <col min="17" max="17" width="13.85546875" style="17" customWidth="1"/>
    <col min="18" max="16384" width="9.140625" style="17"/>
  </cols>
  <sheetData>
    <row r="1" spans="1:17" ht="30" customHeight="1" thickBot="1" x14ac:dyDescent="0.6">
      <c r="A1" s="191" t="s">
        <v>307</v>
      </c>
      <c r="C1" s="191" t="s">
        <v>308</v>
      </c>
      <c r="G1" s="191" t="s">
        <v>309</v>
      </c>
      <c r="J1" s="191" t="s">
        <v>310</v>
      </c>
      <c r="M1" s="191" t="s">
        <v>309</v>
      </c>
      <c r="P1" s="191" t="s">
        <v>310</v>
      </c>
    </row>
    <row r="2" spans="1:17" ht="45.75" customHeight="1" thickTop="1" thickBot="1" x14ac:dyDescent="0.35">
      <c r="A2" s="186" t="s">
        <v>204</v>
      </c>
      <c r="B2" s="192" t="s">
        <v>305</v>
      </c>
      <c r="C2" s="187" t="s">
        <v>276</v>
      </c>
      <c r="D2" s="167"/>
      <c r="E2" s="172" t="s">
        <v>306</v>
      </c>
      <c r="G2" s="186" t="s">
        <v>204</v>
      </c>
      <c r="H2" s="166" t="s">
        <v>276</v>
      </c>
      <c r="I2" s="187" t="s">
        <v>267</v>
      </c>
      <c r="J2" s="167"/>
      <c r="K2" s="172" t="s">
        <v>306</v>
      </c>
      <c r="M2" s="186" t="s">
        <v>204</v>
      </c>
      <c r="N2" s="166" t="s">
        <v>276</v>
      </c>
      <c r="O2" s="187" t="s">
        <v>267</v>
      </c>
      <c r="P2" s="167"/>
      <c r="Q2" s="172" t="s">
        <v>306</v>
      </c>
    </row>
    <row r="3" spans="1:17" ht="20.25" thickTop="1" thickBot="1" x14ac:dyDescent="0.35">
      <c r="A3" s="162">
        <v>1</v>
      </c>
      <c r="B3" s="188">
        <f ca="1">0.4*RAND()+2.9</f>
        <v>3.2813616752941885</v>
      </c>
      <c r="C3" s="164">
        <f ca="1">RANDBETWEEN(20,30)</f>
        <v>24</v>
      </c>
      <c r="D3" s="189">
        <f ca="1">0.5*RAND()+18.8</f>
        <v>18.903123444015797</v>
      </c>
      <c r="E3" s="169">
        <v>0.01</v>
      </c>
      <c r="G3" s="162">
        <v>1</v>
      </c>
      <c r="H3" s="164">
        <f ca="1">RANDBETWEEN(4,10)</f>
        <v>7</v>
      </c>
      <c r="I3" s="164">
        <f ca="1">RANDBETWEEN(4,7)</f>
        <v>4</v>
      </c>
      <c r="J3" s="164">
        <f ca="1">RANDBETWEEN(247,258)</f>
        <v>253</v>
      </c>
      <c r="K3" s="169">
        <v>0.1</v>
      </c>
      <c r="M3" s="163">
        <v>14</v>
      </c>
      <c r="N3" s="164">
        <f t="shared" ref="N3:N15" ca="1" si="0">RANDBETWEEN(4,10)</f>
        <v>10</v>
      </c>
      <c r="O3" s="164">
        <f t="shared" ref="O3:O15" ca="1" si="1">RANDBETWEEN(4,7)</f>
        <v>4</v>
      </c>
      <c r="P3" s="164">
        <f t="shared" ref="P3:P15" ca="1" si="2">RANDBETWEEN(247,258)</f>
        <v>254</v>
      </c>
      <c r="Q3" s="169">
        <v>0.05</v>
      </c>
    </row>
    <row r="4" spans="1:17" ht="20.25" thickTop="1" thickBot="1" x14ac:dyDescent="0.35">
      <c r="A4" s="163">
        <v>2</v>
      </c>
      <c r="B4" s="188">
        <f t="shared" ref="B4:B27" ca="1" si="3">0.4*RAND()+2.9</f>
        <v>2.92729673946618</v>
      </c>
      <c r="C4" s="164">
        <f t="shared" ref="C4:C27" ca="1" si="4">RANDBETWEEN(20,30)</f>
        <v>23</v>
      </c>
      <c r="D4" s="189">
        <f t="shared" ref="D4:D27" ca="1" si="5">0.5*RAND()+18.8</f>
        <v>19.064160003799412</v>
      </c>
      <c r="E4" s="169">
        <v>0.01</v>
      </c>
      <c r="G4" s="163">
        <v>2</v>
      </c>
      <c r="H4" s="164">
        <f t="shared" ref="H4:H27" ca="1" si="6">RANDBETWEEN(4,10)</f>
        <v>10</v>
      </c>
      <c r="I4" s="164">
        <f t="shared" ref="I4:I27" ca="1" si="7">RANDBETWEEN(4,7)</f>
        <v>7</v>
      </c>
      <c r="J4" s="164">
        <f t="shared" ref="J4:J27" ca="1" si="8">RANDBETWEEN(247,258)</f>
        <v>250</v>
      </c>
      <c r="K4" s="169">
        <v>0.1</v>
      </c>
      <c r="M4" s="162">
        <v>15</v>
      </c>
      <c r="N4" s="164">
        <f t="shared" ca="1" si="0"/>
        <v>5</v>
      </c>
      <c r="O4" s="164">
        <f t="shared" ca="1" si="1"/>
        <v>5</v>
      </c>
      <c r="P4" s="164">
        <f t="shared" ca="1" si="2"/>
        <v>247</v>
      </c>
      <c r="Q4" s="169">
        <v>0.05</v>
      </c>
    </row>
    <row r="5" spans="1:17" ht="20.25" thickTop="1" thickBot="1" x14ac:dyDescent="0.35">
      <c r="A5" s="162">
        <v>3</v>
      </c>
      <c r="B5" s="188">
        <f t="shared" ca="1" si="3"/>
        <v>2.9180606591899103</v>
      </c>
      <c r="C5" s="164">
        <f t="shared" ca="1" si="4"/>
        <v>28</v>
      </c>
      <c r="D5" s="189">
        <f t="shared" ca="1" si="5"/>
        <v>18.963925396381377</v>
      </c>
      <c r="E5" s="169">
        <v>0.01</v>
      </c>
      <c r="G5" s="162">
        <v>3</v>
      </c>
      <c r="H5" s="164">
        <f t="shared" ca="1" si="6"/>
        <v>10</v>
      </c>
      <c r="I5" s="164">
        <f t="shared" ca="1" si="7"/>
        <v>6</v>
      </c>
      <c r="J5" s="164">
        <f t="shared" ca="1" si="8"/>
        <v>251</v>
      </c>
      <c r="K5" s="169">
        <v>0.1</v>
      </c>
      <c r="M5" s="163">
        <v>16</v>
      </c>
      <c r="N5" s="164">
        <f t="shared" ca="1" si="0"/>
        <v>5</v>
      </c>
      <c r="O5" s="164">
        <f t="shared" ca="1" si="1"/>
        <v>7</v>
      </c>
      <c r="P5" s="164">
        <f t="shared" ca="1" si="2"/>
        <v>248</v>
      </c>
      <c r="Q5" s="169">
        <v>0.05</v>
      </c>
    </row>
    <row r="6" spans="1:17" ht="20.25" thickTop="1" thickBot="1" x14ac:dyDescent="0.35">
      <c r="A6" s="163">
        <v>4</v>
      </c>
      <c r="B6" s="188">
        <f t="shared" ca="1" si="3"/>
        <v>2.9419432447324594</v>
      </c>
      <c r="C6" s="164">
        <f t="shared" ca="1" si="4"/>
        <v>21</v>
      </c>
      <c r="D6" s="189">
        <f t="shared" ca="1" si="5"/>
        <v>18.874099881540008</v>
      </c>
      <c r="E6" s="169">
        <v>0.01</v>
      </c>
      <c r="G6" s="163">
        <v>4</v>
      </c>
      <c r="H6" s="164">
        <f t="shared" ca="1" si="6"/>
        <v>4</v>
      </c>
      <c r="I6" s="164">
        <f t="shared" ca="1" si="7"/>
        <v>6</v>
      </c>
      <c r="J6" s="164">
        <f t="shared" ca="1" si="8"/>
        <v>248</v>
      </c>
      <c r="K6" s="169">
        <v>0.1</v>
      </c>
      <c r="M6" s="162">
        <v>17</v>
      </c>
      <c r="N6" s="164">
        <f t="shared" ca="1" si="0"/>
        <v>10</v>
      </c>
      <c r="O6" s="164">
        <f t="shared" ca="1" si="1"/>
        <v>4</v>
      </c>
      <c r="P6" s="164">
        <f t="shared" ca="1" si="2"/>
        <v>255</v>
      </c>
      <c r="Q6" s="169">
        <v>0.05</v>
      </c>
    </row>
    <row r="7" spans="1:17" ht="20.25" thickTop="1" thickBot="1" x14ac:dyDescent="0.35">
      <c r="A7" s="162">
        <v>5</v>
      </c>
      <c r="B7" s="188">
        <f t="shared" ca="1" si="3"/>
        <v>3.0361102884822788</v>
      </c>
      <c r="C7" s="164">
        <f t="shared" ca="1" si="4"/>
        <v>29</v>
      </c>
      <c r="D7" s="189">
        <f t="shared" ca="1" si="5"/>
        <v>19.263876185074384</v>
      </c>
      <c r="E7" s="169">
        <v>0.01</v>
      </c>
      <c r="G7" s="162">
        <v>5</v>
      </c>
      <c r="H7" s="164">
        <f t="shared" ca="1" si="6"/>
        <v>8</v>
      </c>
      <c r="I7" s="164">
        <f t="shared" ca="1" si="7"/>
        <v>4</v>
      </c>
      <c r="J7" s="164">
        <f t="shared" ca="1" si="8"/>
        <v>251</v>
      </c>
      <c r="K7" s="169">
        <v>0.1</v>
      </c>
      <c r="M7" s="163">
        <v>18</v>
      </c>
      <c r="N7" s="164">
        <f t="shared" ca="1" si="0"/>
        <v>7</v>
      </c>
      <c r="O7" s="164">
        <f t="shared" ca="1" si="1"/>
        <v>4</v>
      </c>
      <c r="P7" s="164">
        <f t="shared" ca="1" si="2"/>
        <v>257</v>
      </c>
      <c r="Q7" s="169">
        <v>0.05</v>
      </c>
    </row>
    <row r="8" spans="1:17" ht="20.25" thickTop="1" thickBot="1" x14ac:dyDescent="0.35">
      <c r="A8" s="163">
        <v>6</v>
      </c>
      <c r="B8" s="188">
        <f t="shared" ca="1" si="3"/>
        <v>3.0924052470307615</v>
      </c>
      <c r="C8" s="164">
        <f t="shared" ca="1" si="4"/>
        <v>26</v>
      </c>
      <c r="D8" s="189">
        <f t="shared" ca="1" si="5"/>
        <v>19.036742699330329</v>
      </c>
      <c r="E8" s="169">
        <v>0.01</v>
      </c>
      <c r="G8" s="163">
        <v>6</v>
      </c>
      <c r="H8" s="164">
        <f t="shared" ca="1" si="6"/>
        <v>7</v>
      </c>
      <c r="I8" s="164">
        <f t="shared" ca="1" si="7"/>
        <v>7</v>
      </c>
      <c r="J8" s="164">
        <f t="shared" ca="1" si="8"/>
        <v>252</v>
      </c>
      <c r="K8" s="169">
        <v>0.1</v>
      </c>
      <c r="M8" s="162">
        <v>19</v>
      </c>
      <c r="N8" s="164">
        <f t="shared" ca="1" si="0"/>
        <v>7</v>
      </c>
      <c r="O8" s="164">
        <f t="shared" ca="1" si="1"/>
        <v>4</v>
      </c>
      <c r="P8" s="164">
        <f t="shared" ca="1" si="2"/>
        <v>254</v>
      </c>
      <c r="Q8" s="169">
        <v>0.05</v>
      </c>
    </row>
    <row r="9" spans="1:17" ht="20.25" thickTop="1" thickBot="1" x14ac:dyDescent="0.35">
      <c r="A9" s="162">
        <v>7</v>
      </c>
      <c r="B9" s="188">
        <f t="shared" ca="1" si="3"/>
        <v>3.1454796149579529</v>
      </c>
      <c r="C9" s="164">
        <f t="shared" ca="1" si="4"/>
        <v>20</v>
      </c>
      <c r="D9" s="189">
        <f t="shared" ca="1" si="5"/>
        <v>19.177379298496884</v>
      </c>
      <c r="E9" s="169">
        <v>0.01</v>
      </c>
      <c r="G9" s="162">
        <v>7</v>
      </c>
      <c r="H9" s="164">
        <f t="shared" ca="1" si="6"/>
        <v>6</v>
      </c>
      <c r="I9" s="164">
        <f t="shared" ca="1" si="7"/>
        <v>6</v>
      </c>
      <c r="J9" s="164">
        <f t="shared" ca="1" si="8"/>
        <v>251</v>
      </c>
      <c r="K9" s="169">
        <v>0.1</v>
      </c>
      <c r="M9" s="163">
        <v>20</v>
      </c>
      <c r="N9" s="164">
        <f t="shared" ca="1" si="0"/>
        <v>7</v>
      </c>
      <c r="O9" s="164">
        <f t="shared" ca="1" si="1"/>
        <v>5</v>
      </c>
      <c r="P9" s="164">
        <f t="shared" ca="1" si="2"/>
        <v>247</v>
      </c>
      <c r="Q9" s="169">
        <v>0.05</v>
      </c>
    </row>
    <row r="10" spans="1:17" ht="20.25" thickTop="1" thickBot="1" x14ac:dyDescent="0.35">
      <c r="A10" s="163">
        <v>8</v>
      </c>
      <c r="B10" s="188">
        <f t="shared" ca="1" si="3"/>
        <v>2.9142393319653697</v>
      </c>
      <c r="C10" s="164">
        <f t="shared" ca="1" si="4"/>
        <v>21</v>
      </c>
      <c r="D10" s="189">
        <f t="shared" ca="1" si="5"/>
        <v>19.258679893939664</v>
      </c>
      <c r="E10" s="169">
        <v>0.01</v>
      </c>
      <c r="G10" s="163">
        <v>8</v>
      </c>
      <c r="H10" s="164">
        <f t="shared" ca="1" si="6"/>
        <v>9</v>
      </c>
      <c r="I10" s="164">
        <f t="shared" ca="1" si="7"/>
        <v>6</v>
      </c>
      <c r="J10" s="164">
        <f t="shared" ca="1" si="8"/>
        <v>251</v>
      </c>
      <c r="K10" s="169">
        <v>0.1</v>
      </c>
      <c r="M10" s="162">
        <v>21</v>
      </c>
      <c r="N10" s="164">
        <f t="shared" ca="1" si="0"/>
        <v>4</v>
      </c>
      <c r="O10" s="164">
        <f t="shared" ca="1" si="1"/>
        <v>6</v>
      </c>
      <c r="P10" s="164">
        <f t="shared" ca="1" si="2"/>
        <v>251</v>
      </c>
      <c r="Q10" s="169">
        <v>0.05</v>
      </c>
    </row>
    <row r="11" spans="1:17" ht="20.25" thickTop="1" thickBot="1" x14ac:dyDescent="0.35">
      <c r="A11" s="162">
        <v>9</v>
      </c>
      <c r="B11" s="188">
        <f t="shared" ca="1" si="3"/>
        <v>3.282471315857002</v>
      </c>
      <c r="C11" s="164">
        <f t="shared" ca="1" si="4"/>
        <v>20</v>
      </c>
      <c r="D11" s="189">
        <f t="shared" ca="1" si="5"/>
        <v>19.100811230167594</v>
      </c>
      <c r="E11" s="169">
        <v>0.01</v>
      </c>
      <c r="G11" s="162">
        <v>9</v>
      </c>
      <c r="H11" s="164">
        <f t="shared" ca="1" si="6"/>
        <v>5</v>
      </c>
      <c r="I11" s="164">
        <f t="shared" ca="1" si="7"/>
        <v>6</v>
      </c>
      <c r="J11" s="164">
        <f t="shared" ca="1" si="8"/>
        <v>247</v>
      </c>
      <c r="K11" s="169">
        <v>0.1</v>
      </c>
      <c r="M11" s="163">
        <v>22</v>
      </c>
      <c r="N11" s="164">
        <f t="shared" ca="1" si="0"/>
        <v>6</v>
      </c>
      <c r="O11" s="164">
        <f t="shared" ca="1" si="1"/>
        <v>4</v>
      </c>
      <c r="P11" s="164">
        <f t="shared" ca="1" si="2"/>
        <v>251</v>
      </c>
      <c r="Q11" s="169">
        <v>0.05</v>
      </c>
    </row>
    <row r="12" spans="1:17" ht="20.25" thickTop="1" thickBot="1" x14ac:dyDescent="0.35">
      <c r="A12" s="163">
        <v>10</v>
      </c>
      <c r="B12" s="188">
        <f t="shared" ca="1" si="3"/>
        <v>3.1769297859463603</v>
      </c>
      <c r="C12" s="164">
        <f t="shared" ca="1" si="4"/>
        <v>29</v>
      </c>
      <c r="D12" s="189">
        <f t="shared" ca="1" si="5"/>
        <v>19.230524983025624</v>
      </c>
      <c r="E12" s="169">
        <v>0.01</v>
      </c>
      <c r="G12" s="163">
        <v>10</v>
      </c>
      <c r="H12" s="164">
        <f t="shared" ca="1" si="6"/>
        <v>7</v>
      </c>
      <c r="I12" s="164">
        <f t="shared" ca="1" si="7"/>
        <v>4</v>
      </c>
      <c r="J12" s="164">
        <f t="shared" ca="1" si="8"/>
        <v>248</v>
      </c>
      <c r="K12" s="169">
        <v>0.1</v>
      </c>
      <c r="M12" s="162">
        <v>23</v>
      </c>
      <c r="N12" s="164">
        <f t="shared" ca="1" si="0"/>
        <v>6</v>
      </c>
      <c r="O12" s="164">
        <f t="shared" ca="1" si="1"/>
        <v>5</v>
      </c>
      <c r="P12" s="164">
        <f t="shared" ca="1" si="2"/>
        <v>256</v>
      </c>
      <c r="Q12" s="169">
        <v>0.05</v>
      </c>
    </row>
    <row r="13" spans="1:17" ht="20.25" thickTop="1" thickBot="1" x14ac:dyDescent="0.35">
      <c r="A13" s="162">
        <v>11</v>
      </c>
      <c r="B13" s="188">
        <f t="shared" ca="1" si="3"/>
        <v>3.1809139159310922</v>
      </c>
      <c r="C13" s="164">
        <f t="shared" ca="1" si="4"/>
        <v>30</v>
      </c>
      <c r="D13" s="189">
        <f t="shared" ca="1" si="5"/>
        <v>19.031301323995365</v>
      </c>
      <c r="E13" s="169">
        <v>0.01</v>
      </c>
      <c r="G13" s="162">
        <v>11</v>
      </c>
      <c r="H13" s="164">
        <f t="shared" ca="1" si="6"/>
        <v>8</v>
      </c>
      <c r="I13" s="164">
        <f t="shared" ca="1" si="7"/>
        <v>7</v>
      </c>
      <c r="J13" s="164">
        <f t="shared" ca="1" si="8"/>
        <v>257</v>
      </c>
      <c r="K13" s="169">
        <v>0.1</v>
      </c>
      <c r="M13" s="163">
        <v>24</v>
      </c>
      <c r="N13" s="164">
        <f t="shared" ca="1" si="0"/>
        <v>9</v>
      </c>
      <c r="O13" s="164">
        <f t="shared" ca="1" si="1"/>
        <v>6</v>
      </c>
      <c r="P13" s="164">
        <f t="shared" ca="1" si="2"/>
        <v>256</v>
      </c>
      <c r="Q13" s="169">
        <v>0.05</v>
      </c>
    </row>
    <row r="14" spans="1:17" ht="20.25" thickTop="1" thickBot="1" x14ac:dyDescent="0.35">
      <c r="A14" s="163">
        <v>12</v>
      </c>
      <c r="B14" s="188">
        <f t="shared" ca="1" si="3"/>
        <v>3.0389051828472811</v>
      </c>
      <c r="C14" s="164">
        <f t="shared" ca="1" si="4"/>
        <v>23</v>
      </c>
      <c r="D14" s="189">
        <f t="shared" ca="1" si="5"/>
        <v>18.908807036328568</v>
      </c>
      <c r="E14" s="169">
        <v>0.01</v>
      </c>
      <c r="G14" s="163">
        <v>12</v>
      </c>
      <c r="H14" s="164">
        <f t="shared" ca="1" si="6"/>
        <v>9</v>
      </c>
      <c r="I14" s="164">
        <f t="shared" ca="1" si="7"/>
        <v>4</v>
      </c>
      <c r="J14" s="164">
        <f t="shared" ca="1" si="8"/>
        <v>252</v>
      </c>
      <c r="K14" s="169">
        <v>0.1</v>
      </c>
      <c r="M14" s="162">
        <v>25</v>
      </c>
      <c r="N14" s="164">
        <f t="shared" ca="1" si="0"/>
        <v>8</v>
      </c>
      <c r="O14" s="164">
        <f t="shared" ca="1" si="1"/>
        <v>6</v>
      </c>
      <c r="P14" s="164">
        <f t="shared" ca="1" si="2"/>
        <v>253</v>
      </c>
      <c r="Q14" s="169">
        <v>0.05</v>
      </c>
    </row>
    <row r="15" spans="1:17" ht="20.25" thickTop="1" thickBot="1" x14ac:dyDescent="0.35">
      <c r="A15" s="162">
        <v>13</v>
      </c>
      <c r="B15" s="188">
        <f t="shared" ca="1" si="3"/>
        <v>3.0345210633961721</v>
      </c>
      <c r="C15" s="164">
        <f t="shared" ca="1" si="4"/>
        <v>24</v>
      </c>
      <c r="D15" s="189">
        <f t="shared" ca="1" si="5"/>
        <v>19.048601493272177</v>
      </c>
      <c r="E15" s="169">
        <v>0.05</v>
      </c>
      <c r="G15" s="162">
        <v>13</v>
      </c>
      <c r="H15" s="164">
        <f t="shared" ca="1" si="6"/>
        <v>10</v>
      </c>
      <c r="I15" s="164">
        <f t="shared" ca="1" si="7"/>
        <v>6</v>
      </c>
      <c r="J15" s="164">
        <f t="shared" ca="1" si="8"/>
        <v>255</v>
      </c>
      <c r="K15" s="169">
        <v>0.05</v>
      </c>
      <c r="M15" s="163">
        <v>26</v>
      </c>
      <c r="N15" s="164">
        <f t="shared" ca="1" si="0"/>
        <v>10</v>
      </c>
      <c r="O15" s="164">
        <f t="shared" ca="1" si="1"/>
        <v>7</v>
      </c>
      <c r="P15" s="164">
        <f t="shared" ca="1" si="2"/>
        <v>249</v>
      </c>
      <c r="Q15" s="169">
        <v>0.05</v>
      </c>
    </row>
    <row r="16" spans="1:17" ht="20.25" thickTop="1" thickBot="1" x14ac:dyDescent="0.35">
      <c r="A16" s="163">
        <v>14</v>
      </c>
      <c r="B16" s="188">
        <f t="shared" ca="1" si="3"/>
        <v>3.1679267722313109</v>
      </c>
      <c r="C16" s="164">
        <f t="shared" ca="1" si="4"/>
        <v>29</v>
      </c>
      <c r="D16" s="189">
        <f t="shared" ca="1" si="5"/>
        <v>19.278020712977543</v>
      </c>
      <c r="E16" s="169">
        <v>0.05</v>
      </c>
      <c r="G16" s="163">
        <v>14</v>
      </c>
      <c r="H16" s="164">
        <f t="shared" ca="1" si="6"/>
        <v>5</v>
      </c>
      <c r="I16" s="164">
        <f t="shared" ca="1" si="7"/>
        <v>4</v>
      </c>
      <c r="J16" s="164">
        <f t="shared" ca="1" si="8"/>
        <v>247</v>
      </c>
      <c r="K16" s="169">
        <v>0.05</v>
      </c>
    </row>
    <row r="17" spans="1:17" ht="20.25" thickTop="1" thickBot="1" x14ac:dyDescent="0.35">
      <c r="A17" s="162">
        <v>15</v>
      </c>
      <c r="B17" s="188">
        <f t="shared" ca="1" si="3"/>
        <v>3.0417042292967005</v>
      </c>
      <c r="C17" s="164">
        <f t="shared" ca="1" si="4"/>
        <v>25</v>
      </c>
      <c r="D17" s="189">
        <f t="shared" ca="1" si="5"/>
        <v>18.886625683474605</v>
      </c>
      <c r="E17" s="169">
        <v>0.05</v>
      </c>
      <c r="G17" s="162">
        <v>15</v>
      </c>
      <c r="H17" s="164">
        <f t="shared" ca="1" si="6"/>
        <v>7</v>
      </c>
      <c r="I17" s="164">
        <f t="shared" ca="1" si="7"/>
        <v>7</v>
      </c>
      <c r="J17" s="164">
        <f t="shared" ca="1" si="8"/>
        <v>251</v>
      </c>
      <c r="K17" s="169">
        <v>0.05</v>
      </c>
    </row>
    <row r="18" spans="1:17" ht="20.25" thickTop="1" thickBot="1" x14ac:dyDescent="0.35">
      <c r="A18" s="163">
        <v>16</v>
      </c>
      <c r="B18" s="188">
        <f t="shared" ca="1" si="3"/>
        <v>3.1608601465080515</v>
      </c>
      <c r="C18" s="164">
        <f t="shared" ca="1" si="4"/>
        <v>28</v>
      </c>
      <c r="D18" s="189">
        <f t="shared" ca="1" si="5"/>
        <v>19.135352681131693</v>
      </c>
      <c r="E18" s="169">
        <v>0.05</v>
      </c>
      <c r="G18" s="163">
        <v>16</v>
      </c>
      <c r="H18" s="164">
        <f t="shared" ca="1" si="6"/>
        <v>8</v>
      </c>
      <c r="I18" s="164">
        <f t="shared" ca="1" si="7"/>
        <v>4</v>
      </c>
      <c r="J18" s="164">
        <f t="shared" ca="1" si="8"/>
        <v>252</v>
      </c>
      <c r="K18" s="169">
        <v>0.05</v>
      </c>
    </row>
    <row r="19" spans="1:17" ht="20.25" thickTop="1" thickBot="1" x14ac:dyDescent="0.35">
      <c r="A19" s="162">
        <v>17</v>
      </c>
      <c r="B19" s="188">
        <f t="shared" ca="1" si="3"/>
        <v>3.0838827298105964</v>
      </c>
      <c r="C19" s="164">
        <f t="shared" ca="1" si="4"/>
        <v>26</v>
      </c>
      <c r="D19" s="189">
        <f t="shared" ca="1" si="5"/>
        <v>19.144661334365452</v>
      </c>
      <c r="E19" s="169">
        <v>0.05</v>
      </c>
      <c r="G19" s="162">
        <v>17</v>
      </c>
      <c r="H19" s="164">
        <f t="shared" ca="1" si="6"/>
        <v>4</v>
      </c>
      <c r="I19" s="164">
        <f t="shared" ca="1" si="7"/>
        <v>5</v>
      </c>
      <c r="J19" s="164">
        <f t="shared" ca="1" si="8"/>
        <v>252</v>
      </c>
      <c r="K19" s="169">
        <v>0.05</v>
      </c>
    </row>
    <row r="20" spans="1:17" ht="20.25" thickTop="1" thickBot="1" x14ac:dyDescent="0.35">
      <c r="A20" s="163">
        <v>18</v>
      </c>
      <c r="B20" s="188">
        <f t="shared" ca="1" si="3"/>
        <v>3.1004893915285949</v>
      </c>
      <c r="C20" s="164">
        <f t="shared" ca="1" si="4"/>
        <v>23</v>
      </c>
      <c r="D20" s="189">
        <f t="shared" ca="1" si="5"/>
        <v>19.016963704461819</v>
      </c>
      <c r="E20" s="169">
        <v>0.05</v>
      </c>
      <c r="G20" s="163">
        <v>18</v>
      </c>
      <c r="H20" s="164">
        <f t="shared" ca="1" si="6"/>
        <v>9</v>
      </c>
      <c r="I20" s="164">
        <f t="shared" ca="1" si="7"/>
        <v>4</v>
      </c>
      <c r="J20" s="164">
        <f t="shared" ca="1" si="8"/>
        <v>254</v>
      </c>
      <c r="K20" s="169">
        <v>0.05</v>
      </c>
    </row>
    <row r="21" spans="1:17" ht="20.25" thickTop="1" thickBot="1" x14ac:dyDescent="0.35">
      <c r="A21" s="162">
        <v>19</v>
      </c>
      <c r="B21" s="188">
        <f t="shared" ca="1" si="3"/>
        <v>3.0311424638355358</v>
      </c>
      <c r="C21" s="164">
        <f t="shared" ca="1" si="4"/>
        <v>25</v>
      </c>
      <c r="D21" s="189">
        <f t="shared" ca="1" si="5"/>
        <v>18.932294677695886</v>
      </c>
      <c r="E21" s="169">
        <v>0.05</v>
      </c>
      <c r="G21" s="162">
        <v>19</v>
      </c>
      <c r="H21" s="164">
        <f t="shared" ca="1" si="6"/>
        <v>9</v>
      </c>
      <c r="I21" s="164">
        <f t="shared" ca="1" si="7"/>
        <v>6</v>
      </c>
      <c r="J21" s="164">
        <f t="shared" ca="1" si="8"/>
        <v>247</v>
      </c>
      <c r="K21" s="169">
        <v>0.05</v>
      </c>
    </row>
    <row r="22" spans="1:17" ht="20.25" thickTop="1" thickBot="1" x14ac:dyDescent="0.35">
      <c r="A22" s="163">
        <v>20</v>
      </c>
      <c r="B22" s="188">
        <f t="shared" ca="1" si="3"/>
        <v>3.1765263460562392</v>
      </c>
      <c r="C22" s="164">
        <f t="shared" ca="1" si="4"/>
        <v>29</v>
      </c>
      <c r="D22" s="189">
        <f t="shared" ca="1" si="5"/>
        <v>18.965833598440636</v>
      </c>
      <c r="E22" s="169">
        <v>0.05</v>
      </c>
      <c r="G22" s="163">
        <v>20</v>
      </c>
      <c r="H22" s="164">
        <f t="shared" ca="1" si="6"/>
        <v>7</v>
      </c>
      <c r="I22" s="164">
        <f t="shared" ca="1" si="7"/>
        <v>7</v>
      </c>
      <c r="J22" s="164">
        <f t="shared" ca="1" si="8"/>
        <v>252</v>
      </c>
      <c r="K22" s="169">
        <v>0.05</v>
      </c>
    </row>
    <row r="23" spans="1:17" ht="20.25" thickTop="1" thickBot="1" x14ac:dyDescent="0.35">
      <c r="A23" s="162">
        <v>21</v>
      </c>
      <c r="B23" s="188">
        <f t="shared" ca="1" si="3"/>
        <v>3.164966210071928</v>
      </c>
      <c r="C23" s="164">
        <f t="shared" ca="1" si="4"/>
        <v>21</v>
      </c>
      <c r="D23" s="189">
        <f t="shared" ca="1" si="5"/>
        <v>19.079704255417312</v>
      </c>
      <c r="E23" s="169">
        <v>0.05</v>
      </c>
      <c r="G23" s="162">
        <v>21</v>
      </c>
      <c r="H23" s="164">
        <f t="shared" ca="1" si="6"/>
        <v>8</v>
      </c>
      <c r="I23" s="164">
        <f t="shared" ca="1" si="7"/>
        <v>7</v>
      </c>
      <c r="J23" s="164">
        <f t="shared" ca="1" si="8"/>
        <v>248</v>
      </c>
      <c r="K23" s="169">
        <v>0.05</v>
      </c>
    </row>
    <row r="24" spans="1:17" ht="20.25" thickTop="1" thickBot="1" x14ac:dyDescent="0.35">
      <c r="A24" s="163">
        <v>22</v>
      </c>
      <c r="B24" s="188">
        <f t="shared" ca="1" si="3"/>
        <v>3.282165584829067</v>
      </c>
      <c r="C24" s="164">
        <f t="shared" ca="1" si="4"/>
        <v>29</v>
      </c>
      <c r="D24" s="189">
        <f t="shared" ca="1" si="5"/>
        <v>19.07692759462784</v>
      </c>
      <c r="E24" s="169">
        <v>0.05</v>
      </c>
      <c r="G24" s="163">
        <v>22</v>
      </c>
      <c r="H24" s="164">
        <f t="shared" ca="1" si="6"/>
        <v>5</v>
      </c>
      <c r="I24" s="164">
        <f t="shared" ca="1" si="7"/>
        <v>7</v>
      </c>
      <c r="J24" s="164">
        <f t="shared" ca="1" si="8"/>
        <v>252</v>
      </c>
      <c r="K24" s="169">
        <v>0.05</v>
      </c>
    </row>
    <row r="25" spans="1:17" ht="20.25" thickTop="1" thickBot="1" x14ac:dyDescent="0.35">
      <c r="A25" s="162">
        <v>23</v>
      </c>
      <c r="B25" s="188">
        <f t="shared" ca="1" si="3"/>
        <v>2.9492670818949356</v>
      </c>
      <c r="C25" s="164">
        <f t="shared" ca="1" si="4"/>
        <v>24</v>
      </c>
      <c r="D25" s="189">
        <f t="shared" ca="1" si="5"/>
        <v>19.19460080084723</v>
      </c>
      <c r="E25" s="169">
        <v>0.05</v>
      </c>
      <c r="G25" s="162">
        <v>23</v>
      </c>
      <c r="H25" s="164">
        <f t="shared" ca="1" si="6"/>
        <v>10</v>
      </c>
      <c r="I25" s="164">
        <f t="shared" ca="1" si="7"/>
        <v>4</v>
      </c>
      <c r="J25" s="164">
        <f t="shared" ca="1" si="8"/>
        <v>252</v>
      </c>
      <c r="K25" s="169">
        <v>0.05</v>
      </c>
    </row>
    <row r="26" spans="1:17" ht="20.25" thickTop="1" thickBot="1" x14ac:dyDescent="0.35">
      <c r="A26" s="163">
        <v>24</v>
      </c>
      <c r="B26" s="188">
        <f t="shared" ca="1" si="3"/>
        <v>3.0341411541514463</v>
      </c>
      <c r="C26" s="164">
        <f t="shared" ca="1" si="4"/>
        <v>25</v>
      </c>
      <c r="D26" s="189">
        <f t="shared" ca="1" si="5"/>
        <v>19.034575899632838</v>
      </c>
      <c r="E26" s="169">
        <v>0.05</v>
      </c>
      <c r="G26" s="163">
        <v>24</v>
      </c>
      <c r="H26" s="164">
        <f t="shared" ca="1" si="6"/>
        <v>9</v>
      </c>
      <c r="I26" s="164">
        <f t="shared" ca="1" si="7"/>
        <v>4</v>
      </c>
      <c r="J26" s="164">
        <f t="shared" ca="1" si="8"/>
        <v>258</v>
      </c>
      <c r="K26" s="169">
        <v>0.05</v>
      </c>
    </row>
    <row r="27" spans="1:17" ht="20.25" thickTop="1" thickBot="1" x14ac:dyDescent="0.35">
      <c r="A27" s="162">
        <v>25</v>
      </c>
      <c r="B27" s="188">
        <f t="shared" ca="1" si="3"/>
        <v>3.0643295438328058</v>
      </c>
      <c r="C27" s="164">
        <f t="shared" ca="1" si="4"/>
        <v>25</v>
      </c>
      <c r="D27" s="189">
        <f t="shared" ca="1" si="5"/>
        <v>19.209772059723143</v>
      </c>
      <c r="E27" s="169">
        <v>0.05</v>
      </c>
      <c r="G27" s="162">
        <v>25</v>
      </c>
      <c r="H27" s="164">
        <f t="shared" ca="1" si="6"/>
        <v>5</v>
      </c>
      <c r="I27" s="164">
        <f t="shared" ca="1" si="7"/>
        <v>5</v>
      </c>
      <c r="J27" s="164">
        <f t="shared" ca="1" si="8"/>
        <v>257</v>
      </c>
      <c r="K27" s="169">
        <v>0.05</v>
      </c>
    </row>
    <row r="28" spans="1:17" ht="19.5" thickTop="1" x14ac:dyDescent="0.3"/>
    <row r="30" spans="1:17" ht="32.25" thickBot="1" x14ac:dyDescent="0.6">
      <c r="A30" s="191" t="s">
        <v>311</v>
      </c>
      <c r="D30" s="191"/>
      <c r="G30" s="191" t="s">
        <v>312</v>
      </c>
      <c r="J30" s="191" t="s">
        <v>313</v>
      </c>
      <c r="M30" s="191" t="s">
        <v>312</v>
      </c>
      <c r="P30" s="191" t="s">
        <v>313</v>
      </c>
    </row>
    <row r="31" spans="1:17" ht="45.75" customHeight="1" thickTop="1" thickBot="1" x14ac:dyDescent="0.35">
      <c r="A31" s="186" t="s">
        <v>204</v>
      </c>
      <c r="B31" s="166" t="s">
        <v>276</v>
      </c>
      <c r="C31" s="187" t="s">
        <v>267</v>
      </c>
      <c r="D31" s="167"/>
      <c r="E31" s="172" t="s">
        <v>306</v>
      </c>
      <c r="G31" s="186" t="s">
        <v>204</v>
      </c>
      <c r="H31" s="166" t="s">
        <v>276</v>
      </c>
      <c r="I31" s="187" t="s">
        <v>267</v>
      </c>
      <c r="J31" s="167"/>
      <c r="K31" s="172" t="s">
        <v>306</v>
      </c>
      <c r="M31" s="186" t="s">
        <v>204</v>
      </c>
      <c r="N31" s="166" t="s">
        <v>276</v>
      </c>
      <c r="O31" s="187" t="s">
        <v>267</v>
      </c>
      <c r="P31" s="167"/>
      <c r="Q31" s="172" t="s">
        <v>306</v>
      </c>
    </row>
    <row r="32" spans="1:17" ht="20.25" thickTop="1" thickBot="1" x14ac:dyDescent="0.35">
      <c r="A32" s="162">
        <v>1</v>
      </c>
      <c r="B32" s="164">
        <f ca="1">RANDBETWEEN(80,120)</f>
        <v>111</v>
      </c>
      <c r="C32" s="169">
        <f ca="1">0.05*RAND()+0.1</f>
        <v>0.10668819902277116</v>
      </c>
      <c r="D32" s="164">
        <f ca="1">0.02*RAND()+0.495</f>
        <v>0.50472955849372503</v>
      </c>
      <c r="E32" s="169">
        <v>0.1</v>
      </c>
      <c r="G32" s="162">
        <v>1</v>
      </c>
      <c r="H32" s="164">
        <f ca="1">RANDBETWEEN(5,10)</f>
        <v>7</v>
      </c>
      <c r="I32" s="169">
        <f ca="1">0.3*RAND()+1</f>
        <v>1.2881592911203905</v>
      </c>
      <c r="J32" s="193">
        <f ca="1">RANDBETWEEN(48,52)</f>
        <v>52</v>
      </c>
      <c r="K32" s="169">
        <v>0.1</v>
      </c>
      <c r="M32" s="163">
        <v>14</v>
      </c>
      <c r="N32" s="164">
        <f t="shared" ref="N32:N44" ca="1" si="9">RANDBETWEEN(5,10)</f>
        <v>10</v>
      </c>
      <c r="O32" s="169">
        <f t="shared" ref="O32:O44" ca="1" si="10">0.3*RAND()+1</f>
        <v>1.1842246671679071</v>
      </c>
      <c r="P32" s="193">
        <f t="shared" ref="P32:P44" ca="1" si="11">RANDBETWEEN(48,52)</f>
        <v>51</v>
      </c>
      <c r="Q32" s="169">
        <v>0.05</v>
      </c>
    </row>
    <row r="33" spans="1:17" ht="20.25" thickTop="1" thickBot="1" x14ac:dyDescent="0.35">
      <c r="A33" s="163">
        <v>2</v>
      </c>
      <c r="B33" s="164">
        <f t="shared" ref="B33:B57" ca="1" si="12">RANDBETWEEN(80,120)</f>
        <v>92</v>
      </c>
      <c r="C33" s="169">
        <f t="shared" ref="C33:C57" ca="1" si="13">0.05*RAND()+0.1</f>
        <v>0.13480109274905713</v>
      </c>
      <c r="D33" s="164">
        <f t="shared" ref="D33:D57" ca="1" si="14">0.02*RAND()+0.495</f>
        <v>0.50693211741279665</v>
      </c>
      <c r="E33" s="169">
        <v>0.1</v>
      </c>
      <c r="G33" s="163">
        <v>2</v>
      </c>
      <c r="H33" s="164">
        <f t="shared" ref="H33:H57" ca="1" si="15">RANDBETWEEN(5,10)</f>
        <v>7</v>
      </c>
      <c r="I33" s="169">
        <f t="shared" ref="I33:I57" ca="1" si="16">0.3*RAND()+1</f>
        <v>1.2817080678685802</v>
      </c>
      <c r="J33" s="193">
        <f t="shared" ref="J33:J57" ca="1" si="17">RANDBETWEEN(48,52)</f>
        <v>48</v>
      </c>
      <c r="K33" s="169">
        <v>0.1</v>
      </c>
      <c r="M33" s="162">
        <v>15</v>
      </c>
      <c r="N33" s="164">
        <f t="shared" ca="1" si="9"/>
        <v>6</v>
      </c>
      <c r="O33" s="169">
        <f t="shared" ca="1" si="10"/>
        <v>1.0003875370020126</v>
      </c>
      <c r="P33" s="193">
        <f t="shared" ca="1" si="11"/>
        <v>51</v>
      </c>
      <c r="Q33" s="169">
        <v>0.05</v>
      </c>
    </row>
    <row r="34" spans="1:17" ht="20.25" thickTop="1" thickBot="1" x14ac:dyDescent="0.35">
      <c r="A34" s="162">
        <v>3</v>
      </c>
      <c r="B34" s="164">
        <f t="shared" ca="1" si="12"/>
        <v>99</v>
      </c>
      <c r="C34" s="169">
        <f t="shared" ca="1" si="13"/>
        <v>0.12395375390831062</v>
      </c>
      <c r="D34" s="164">
        <f t="shared" ca="1" si="14"/>
        <v>0.501369974172444</v>
      </c>
      <c r="E34" s="169">
        <v>0.1</v>
      </c>
      <c r="G34" s="162">
        <v>3</v>
      </c>
      <c r="H34" s="164">
        <f t="shared" ca="1" si="15"/>
        <v>6</v>
      </c>
      <c r="I34" s="169">
        <f t="shared" ca="1" si="16"/>
        <v>1.2067366457738837</v>
      </c>
      <c r="J34" s="193">
        <f t="shared" ca="1" si="17"/>
        <v>51</v>
      </c>
      <c r="K34" s="169">
        <v>0.1</v>
      </c>
      <c r="M34" s="163">
        <v>16</v>
      </c>
      <c r="N34" s="164">
        <f t="shared" ca="1" si="9"/>
        <v>9</v>
      </c>
      <c r="O34" s="169">
        <f t="shared" ca="1" si="10"/>
        <v>1.0324130417186335</v>
      </c>
      <c r="P34" s="193">
        <f t="shared" ca="1" si="11"/>
        <v>51</v>
      </c>
      <c r="Q34" s="169">
        <v>0.05</v>
      </c>
    </row>
    <row r="35" spans="1:17" ht="20.25" thickTop="1" thickBot="1" x14ac:dyDescent="0.35">
      <c r="A35" s="163">
        <v>4</v>
      </c>
      <c r="B35" s="164">
        <f t="shared" ca="1" si="12"/>
        <v>118</v>
      </c>
      <c r="C35" s="169">
        <f t="shared" ca="1" si="13"/>
        <v>0.10049326759004923</v>
      </c>
      <c r="D35" s="164">
        <f t="shared" ca="1" si="14"/>
        <v>0.51411773100851288</v>
      </c>
      <c r="E35" s="169">
        <v>0.1</v>
      </c>
      <c r="G35" s="163">
        <v>4</v>
      </c>
      <c r="H35" s="164">
        <f t="shared" ca="1" si="15"/>
        <v>10</v>
      </c>
      <c r="I35" s="169">
        <f t="shared" ca="1" si="16"/>
        <v>1.1930216957834576</v>
      </c>
      <c r="J35" s="193">
        <f t="shared" ca="1" si="17"/>
        <v>49</v>
      </c>
      <c r="K35" s="169">
        <v>0.1</v>
      </c>
      <c r="M35" s="162">
        <v>17</v>
      </c>
      <c r="N35" s="164">
        <f t="shared" ca="1" si="9"/>
        <v>9</v>
      </c>
      <c r="O35" s="169">
        <f t="shared" ca="1" si="10"/>
        <v>1.0231064580229137</v>
      </c>
      <c r="P35" s="193">
        <f t="shared" ca="1" si="11"/>
        <v>51</v>
      </c>
      <c r="Q35" s="169">
        <v>0.05</v>
      </c>
    </row>
    <row r="36" spans="1:17" ht="20.25" thickTop="1" thickBot="1" x14ac:dyDescent="0.35">
      <c r="A36" s="162">
        <v>5</v>
      </c>
      <c r="B36" s="164">
        <f t="shared" ca="1" si="12"/>
        <v>91</v>
      </c>
      <c r="C36" s="169">
        <f t="shared" ca="1" si="13"/>
        <v>0.13513365511789405</v>
      </c>
      <c r="D36" s="164">
        <f t="shared" ca="1" si="14"/>
        <v>0.50294529323301096</v>
      </c>
      <c r="E36" s="169">
        <v>0.1</v>
      </c>
      <c r="G36" s="162">
        <v>5</v>
      </c>
      <c r="H36" s="164">
        <f t="shared" ca="1" si="15"/>
        <v>9</v>
      </c>
      <c r="I36" s="169">
        <f t="shared" ca="1" si="16"/>
        <v>1.0882181999847274</v>
      </c>
      <c r="J36" s="193">
        <f t="shared" ca="1" si="17"/>
        <v>48</v>
      </c>
      <c r="K36" s="169">
        <v>0.1</v>
      </c>
      <c r="M36" s="163">
        <v>18</v>
      </c>
      <c r="N36" s="164">
        <f t="shared" ca="1" si="9"/>
        <v>9</v>
      </c>
      <c r="O36" s="169">
        <f t="shared" ca="1" si="10"/>
        <v>1.0690013603021089</v>
      </c>
      <c r="P36" s="193">
        <f t="shared" ca="1" si="11"/>
        <v>52</v>
      </c>
      <c r="Q36" s="169">
        <v>0.05</v>
      </c>
    </row>
    <row r="37" spans="1:17" ht="20.25" thickTop="1" thickBot="1" x14ac:dyDescent="0.35">
      <c r="A37" s="163">
        <v>6</v>
      </c>
      <c r="B37" s="164">
        <f t="shared" ca="1" si="12"/>
        <v>91</v>
      </c>
      <c r="C37" s="169">
        <f t="shared" ca="1" si="13"/>
        <v>0.13131682086978635</v>
      </c>
      <c r="D37" s="164">
        <f t="shared" ca="1" si="14"/>
        <v>0.49751437068882215</v>
      </c>
      <c r="E37" s="169">
        <v>0.1</v>
      </c>
      <c r="G37" s="163">
        <v>6</v>
      </c>
      <c r="H37" s="164">
        <f t="shared" ca="1" si="15"/>
        <v>10</v>
      </c>
      <c r="I37" s="169">
        <f t="shared" ca="1" si="16"/>
        <v>1.2111484116119411</v>
      </c>
      <c r="J37" s="193">
        <f t="shared" ca="1" si="17"/>
        <v>48</v>
      </c>
      <c r="K37" s="169">
        <v>0.1</v>
      </c>
      <c r="M37" s="162">
        <v>19</v>
      </c>
      <c r="N37" s="164">
        <f t="shared" ca="1" si="9"/>
        <v>5</v>
      </c>
      <c r="O37" s="169">
        <f t="shared" ca="1" si="10"/>
        <v>1.1274664182619516</v>
      </c>
      <c r="P37" s="193">
        <f t="shared" ca="1" si="11"/>
        <v>51</v>
      </c>
      <c r="Q37" s="169">
        <v>0.05</v>
      </c>
    </row>
    <row r="38" spans="1:17" ht="20.25" thickTop="1" thickBot="1" x14ac:dyDescent="0.35">
      <c r="A38" s="162">
        <v>7</v>
      </c>
      <c r="B38" s="164">
        <f t="shared" ca="1" si="12"/>
        <v>93</v>
      </c>
      <c r="C38" s="169">
        <f t="shared" ca="1" si="13"/>
        <v>0.12153065254623505</v>
      </c>
      <c r="D38" s="164">
        <f t="shared" ca="1" si="14"/>
        <v>0.497685785625263</v>
      </c>
      <c r="E38" s="169">
        <v>0.1</v>
      </c>
      <c r="G38" s="162">
        <v>7</v>
      </c>
      <c r="H38" s="164">
        <f t="shared" ca="1" si="15"/>
        <v>6</v>
      </c>
      <c r="I38" s="169">
        <f t="shared" ca="1" si="16"/>
        <v>1.0846826812347543</v>
      </c>
      <c r="J38" s="193">
        <f t="shared" ca="1" si="17"/>
        <v>49</v>
      </c>
      <c r="K38" s="169">
        <v>0.1</v>
      </c>
      <c r="M38" s="163">
        <v>20</v>
      </c>
      <c r="N38" s="164">
        <f t="shared" ca="1" si="9"/>
        <v>9</v>
      </c>
      <c r="O38" s="169">
        <f t="shared" ca="1" si="10"/>
        <v>1.0050403869794289</v>
      </c>
      <c r="P38" s="193">
        <f t="shared" ca="1" si="11"/>
        <v>52</v>
      </c>
      <c r="Q38" s="169">
        <v>0.05</v>
      </c>
    </row>
    <row r="39" spans="1:17" ht="20.25" thickTop="1" thickBot="1" x14ac:dyDescent="0.35">
      <c r="A39" s="163">
        <v>8</v>
      </c>
      <c r="B39" s="164">
        <f t="shared" ca="1" si="12"/>
        <v>118</v>
      </c>
      <c r="C39" s="169">
        <f t="shared" ca="1" si="13"/>
        <v>0.10240092448932223</v>
      </c>
      <c r="D39" s="164">
        <f t="shared" ca="1" si="14"/>
        <v>0.50419682945418665</v>
      </c>
      <c r="E39" s="169">
        <v>0.1</v>
      </c>
      <c r="G39" s="163">
        <v>8</v>
      </c>
      <c r="H39" s="164">
        <f t="shared" ca="1" si="15"/>
        <v>10</v>
      </c>
      <c r="I39" s="169">
        <f t="shared" ca="1" si="16"/>
        <v>1.1346268281208718</v>
      </c>
      <c r="J39" s="193">
        <f t="shared" ca="1" si="17"/>
        <v>52</v>
      </c>
      <c r="K39" s="169">
        <v>0.1</v>
      </c>
      <c r="M39" s="162">
        <v>21</v>
      </c>
      <c r="N39" s="164">
        <f t="shared" ca="1" si="9"/>
        <v>7</v>
      </c>
      <c r="O39" s="169">
        <f t="shared" ca="1" si="10"/>
        <v>1.2389300234864087</v>
      </c>
      <c r="P39" s="193">
        <f t="shared" ca="1" si="11"/>
        <v>52</v>
      </c>
      <c r="Q39" s="169">
        <v>0.05</v>
      </c>
    </row>
    <row r="40" spans="1:17" ht="20.25" thickTop="1" thickBot="1" x14ac:dyDescent="0.35">
      <c r="A40" s="162">
        <v>9</v>
      </c>
      <c r="B40" s="164">
        <f t="shared" ca="1" si="12"/>
        <v>108</v>
      </c>
      <c r="C40" s="169">
        <f t="shared" ca="1" si="13"/>
        <v>0.1153401489791243</v>
      </c>
      <c r="D40" s="164">
        <f t="shared" ca="1" si="14"/>
        <v>0.49831369126755592</v>
      </c>
      <c r="E40" s="169">
        <v>0.1</v>
      </c>
      <c r="G40" s="162">
        <v>9</v>
      </c>
      <c r="H40" s="164">
        <f t="shared" ca="1" si="15"/>
        <v>5</v>
      </c>
      <c r="I40" s="169">
        <f t="shared" ca="1" si="16"/>
        <v>1.2747599853375513</v>
      </c>
      <c r="J40" s="193">
        <f t="shared" ca="1" si="17"/>
        <v>49</v>
      </c>
      <c r="K40" s="169">
        <v>0.1</v>
      </c>
      <c r="M40" s="163">
        <v>22</v>
      </c>
      <c r="N40" s="164">
        <f t="shared" ca="1" si="9"/>
        <v>9</v>
      </c>
      <c r="O40" s="169">
        <f t="shared" ca="1" si="10"/>
        <v>1.167548833449626</v>
      </c>
      <c r="P40" s="193">
        <f t="shared" ca="1" si="11"/>
        <v>50</v>
      </c>
      <c r="Q40" s="169">
        <v>0.05</v>
      </c>
    </row>
    <row r="41" spans="1:17" ht="20.25" thickTop="1" thickBot="1" x14ac:dyDescent="0.35">
      <c r="A41" s="163">
        <v>10</v>
      </c>
      <c r="B41" s="164">
        <f t="shared" ca="1" si="12"/>
        <v>99</v>
      </c>
      <c r="C41" s="169">
        <f t="shared" ca="1" si="13"/>
        <v>0.12392301297899505</v>
      </c>
      <c r="D41" s="164">
        <f t="shared" ca="1" si="14"/>
        <v>0.50488679629676969</v>
      </c>
      <c r="E41" s="169">
        <v>0.1</v>
      </c>
      <c r="G41" s="163">
        <v>10</v>
      </c>
      <c r="H41" s="164">
        <f t="shared" ca="1" si="15"/>
        <v>6</v>
      </c>
      <c r="I41" s="169">
        <f t="shared" ca="1" si="16"/>
        <v>1.0980919451362106</v>
      </c>
      <c r="J41" s="193">
        <f t="shared" ca="1" si="17"/>
        <v>48</v>
      </c>
      <c r="K41" s="169">
        <v>0.1</v>
      </c>
      <c r="M41" s="162">
        <v>23</v>
      </c>
      <c r="N41" s="164">
        <f t="shared" ca="1" si="9"/>
        <v>6</v>
      </c>
      <c r="O41" s="169">
        <f t="shared" ca="1" si="10"/>
        <v>1.287789823161696</v>
      </c>
      <c r="P41" s="193">
        <f t="shared" ca="1" si="11"/>
        <v>48</v>
      </c>
      <c r="Q41" s="169">
        <v>0.05</v>
      </c>
    </row>
    <row r="42" spans="1:17" ht="20.25" thickTop="1" thickBot="1" x14ac:dyDescent="0.35">
      <c r="A42" s="162">
        <v>11</v>
      </c>
      <c r="B42" s="164">
        <f t="shared" ca="1" si="12"/>
        <v>82</v>
      </c>
      <c r="C42" s="169">
        <f t="shared" ca="1" si="13"/>
        <v>0.11627471972937631</v>
      </c>
      <c r="D42" s="164">
        <f t="shared" ca="1" si="14"/>
        <v>0.51254347211668816</v>
      </c>
      <c r="E42" s="169">
        <v>0.1</v>
      </c>
      <c r="G42" s="162">
        <v>11</v>
      </c>
      <c r="H42" s="164">
        <f t="shared" ca="1" si="15"/>
        <v>6</v>
      </c>
      <c r="I42" s="169">
        <f t="shared" ca="1" si="16"/>
        <v>1.1614967121664297</v>
      </c>
      <c r="J42" s="193">
        <f t="shared" ca="1" si="17"/>
        <v>48</v>
      </c>
      <c r="K42" s="169">
        <v>0.1</v>
      </c>
      <c r="M42" s="163">
        <v>24</v>
      </c>
      <c r="N42" s="164">
        <f t="shared" ca="1" si="9"/>
        <v>5</v>
      </c>
      <c r="O42" s="169">
        <f t="shared" ca="1" si="10"/>
        <v>1.2535960723931947</v>
      </c>
      <c r="P42" s="193">
        <f t="shared" ca="1" si="11"/>
        <v>50</v>
      </c>
      <c r="Q42" s="169">
        <v>0.05</v>
      </c>
    </row>
    <row r="43" spans="1:17" ht="20.25" thickTop="1" thickBot="1" x14ac:dyDescent="0.35">
      <c r="A43" s="163">
        <v>12</v>
      </c>
      <c r="B43" s="164">
        <f t="shared" ca="1" si="12"/>
        <v>94</v>
      </c>
      <c r="C43" s="169">
        <f t="shared" ca="1" si="13"/>
        <v>0.12452425375472079</v>
      </c>
      <c r="D43" s="164">
        <f t="shared" ca="1" si="14"/>
        <v>0.51293798711390293</v>
      </c>
      <c r="E43" s="169">
        <v>0.1</v>
      </c>
      <c r="G43" s="163">
        <v>12</v>
      </c>
      <c r="H43" s="164">
        <f t="shared" ca="1" si="15"/>
        <v>10</v>
      </c>
      <c r="I43" s="169">
        <f t="shared" ca="1" si="16"/>
        <v>1.2180979174392366</v>
      </c>
      <c r="J43" s="193">
        <f t="shared" ca="1" si="17"/>
        <v>48</v>
      </c>
      <c r="K43" s="169">
        <v>0.1</v>
      </c>
      <c r="M43" s="162">
        <v>25</v>
      </c>
      <c r="N43" s="164">
        <f t="shared" ca="1" si="9"/>
        <v>10</v>
      </c>
      <c r="O43" s="169">
        <f t="shared" ca="1" si="10"/>
        <v>1.1760374035680086</v>
      </c>
      <c r="P43" s="193">
        <f t="shared" ca="1" si="11"/>
        <v>48</v>
      </c>
      <c r="Q43" s="169">
        <v>0.05</v>
      </c>
    </row>
    <row r="44" spans="1:17" ht="20.25" thickTop="1" thickBot="1" x14ac:dyDescent="0.35">
      <c r="A44" s="162">
        <v>13</v>
      </c>
      <c r="B44" s="164">
        <f t="shared" ca="1" si="12"/>
        <v>92</v>
      </c>
      <c r="C44" s="169">
        <f t="shared" ca="1" si="13"/>
        <v>0.11740692439806258</v>
      </c>
      <c r="D44" s="164">
        <f t="shared" ca="1" si="14"/>
        <v>0.4963767227656905</v>
      </c>
      <c r="E44" s="169">
        <v>0.05</v>
      </c>
      <c r="G44" s="162">
        <v>13</v>
      </c>
      <c r="H44" s="164">
        <f t="shared" ca="1" si="15"/>
        <v>7</v>
      </c>
      <c r="I44" s="169">
        <f t="shared" ca="1" si="16"/>
        <v>1.2716686869406166</v>
      </c>
      <c r="J44" s="193">
        <f t="shared" ca="1" si="17"/>
        <v>51</v>
      </c>
      <c r="K44" s="169">
        <v>0.05</v>
      </c>
      <c r="M44" s="163">
        <v>26</v>
      </c>
      <c r="N44" s="164">
        <f t="shared" ca="1" si="9"/>
        <v>10</v>
      </c>
      <c r="O44" s="169">
        <f t="shared" ca="1" si="10"/>
        <v>1.0723969103228748</v>
      </c>
      <c r="P44" s="193">
        <f t="shared" ca="1" si="11"/>
        <v>52</v>
      </c>
      <c r="Q44" s="169">
        <v>0.05</v>
      </c>
    </row>
    <row r="45" spans="1:17" ht="20.25" thickTop="1" thickBot="1" x14ac:dyDescent="0.35">
      <c r="A45" s="163">
        <v>14</v>
      </c>
      <c r="B45" s="164">
        <f t="shared" ca="1" si="12"/>
        <v>114</v>
      </c>
      <c r="C45" s="169">
        <f t="shared" ca="1" si="13"/>
        <v>0.10778069328818163</v>
      </c>
      <c r="D45" s="164">
        <f t="shared" ca="1" si="14"/>
        <v>0.49556112888546022</v>
      </c>
      <c r="E45" s="169">
        <v>0.05</v>
      </c>
      <c r="G45" s="163">
        <v>14</v>
      </c>
      <c r="H45" s="164">
        <f t="shared" ca="1" si="15"/>
        <v>5</v>
      </c>
      <c r="I45" s="169">
        <f t="shared" ca="1" si="16"/>
        <v>1.1128109061933944</v>
      </c>
      <c r="J45" s="193">
        <f t="shared" ca="1" si="17"/>
        <v>49</v>
      </c>
      <c r="K45" s="169">
        <v>0.05</v>
      </c>
    </row>
    <row r="46" spans="1:17" ht="20.25" thickTop="1" thickBot="1" x14ac:dyDescent="0.35">
      <c r="A46" s="162">
        <v>15</v>
      </c>
      <c r="B46" s="164">
        <f t="shared" ca="1" si="12"/>
        <v>93</v>
      </c>
      <c r="C46" s="169">
        <f t="shared" ca="1" si="13"/>
        <v>0.1379792778907086</v>
      </c>
      <c r="D46" s="164">
        <f t="shared" ca="1" si="14"/>
        <v>0.50763021216435522</v>
      </c>
      <c r="E46" s="169">
        <v>0.05</v>
      </c>
      <c r="G46" s="162">
        <v>15</v>
      </c>
      <c r="H46" s="164">
        <f t="shared" ca="1" si="15"/>
        <v>5</v>
      </c>
      <c r="I46" s="169">
        <f t="shared" ca="1" si="16"/>
        <v>1.1432341726534685</v>
      </c>
      <c r="J46" s="193">
        <f t="shared" ca="1" si="17"/>
        <v>48</v>
      </c>
      <c r="K46" s="169">
        <v>0.05</v>
      </c>
    </row>
    <row r="47" spans="1:17" ht="20.25" thickTop="1" thickBot="1" x14ac:dyDescent="0.35">
      <c r="A47" s="163">
        <v>16</v>
      </c>
      <c r="B47" s="164">
        <f t="shared" ca="1" si="12"/>
        <v>89</v>
      </c>
      <c r="C47" s="169">
        <f t="shared" ca="1" si="13"/>
        <v>0.12312485287873079</v>
      </c>
      <c r="D47" s="164">
        <f t="shared" ca="1" si="14"/>
        <v>0.49524108990896865</v>
      </c>
      <c r="E47" s="169">
        <v>0.05</v>
      </c>
      <c r="G47" s="163">
        <v>16</v>
      </c>
      <c r="H47" s="164">
        <f t="shared" ca="1" si="15"/>
        <v>10</v>
      </c>
      <c r="I47" s="169">
        <f t="shared" ca="1" si="16"/>
        <v>1.0431791489505453</v>
      </c>
      <c r="J47" s="193">
        <f t="shared" ca="1" si="17"/>
        <v>51</v>
      </c>
      <c r="K47" s="169">
        <v>0.05</v>
      </c>
    </row>
    <row r="48" spans="1:17" ht="20.25" thickTop="1" thickBot="1" x14ac:dyDescent="0.35">
      <c r="A48" s="162">
        <v>17</v>
      </c>
      <c r="B48" s="164">
        <f t="shared" ca="1" si="12"/>
        <v>95</v>
      </c>
      <c r="C48" s="169">
        <f t="shared" ca="1" si="13"/>
        <v>0.11440276992926048</v>
      </c>
      <c r="D48" s="164">
        <f t="shared" ca="1" si="14"/>
        <v>0.50757576182245812</v>
      </c>
      <c r="E48" s="169">
        <v>0.05</v>
      </c>
      <c r="G48" s="162">
        <v>17</v>
      </c>
      <c r="H48" s="164">
        <f t="shared" ca="1" si="15"/>
        <v>6</v>
      </c>
      <c r="I48" s="169">
        <f t="shared" ca="1" si="16"/>
        <v>1.0296118766648965</v>
      </c>
      <c r="J48" s="193">
        <f t="shared" ca="1" si="17"/>
        <v>52</v>
      </c>
      <c r="K48" s="169">
        <v>0.05</v>
      </c>
    </row>
    <row r="49" spans="1:11" ht="20.25" thickTop="1" thickBot="1" x14ac:dyDescent="0.35">
      <c r="A49" s="163">
        <v>18</v>
      </c>
      <c r="B49" s="164">
        <f t="shared" ca="1" si="12"/>
        <v>109</v>
      </c>
      <c r="C49" s="169">
        <f t="shared" ca="1" si="13"/>
        <v>0.10484534612244087</v>
      </c>
      <c r="D49" s="164">
        <f t="shared" ca="1" si="14"/>
        <v>0.4962430558678928</v>
      </c>
      <c r="E49" s="169">
        <v>0.05</v>
      </c>
      <c r="G49" s="163">
        <v>18</v>
      </c>
      <c r="H49" s="164">
        <f t="shared" ca="1" si="15"/>
        <v>10</v>
      </c>
      <c r="I49" s="169">
        <f t="shared" ca="1" si="16"/>
        <v>1.1219913034046316</v>
      </c>
      <c r="J49" s="193">
        <f t="shared" ca="1" si="17"/>
        <v>50</v>
      </c>
      <c r="K49" s="169">
        <v>0.05</v>
      </c>
    </row>
    <row r="50" spans="1:11" ht="20.25" thickTop="1" thickBot="1" x14ac:dyDescent="0.35">
      <c r="A50" s="162">
        <v>19</v>
      </c>
      <c r="B50" s="164">
        <f t="shared" ca="1" si="12"/>
        <v>117</v>
      </c>
      <c r="C50" s="169">
        <f t="shared" ca="1" si="13"/>
        <v>0.12945145451210371</v>
      </c>
      <c r="D50" s="164">
        <f t="shared" ca="1" si="14"/>
        <v>0.51095328390512307</v>
      </c>
      <c r="E50" s="169">
        <v>0.05</v>
      </c>
      <c r="G50" s="162">
        <v>19</v>
      </c>
      <c r="H50" s="164">
        <f t="shared" ca="1" si="15"/>
        <v>8</v>
      </c>
      <c r="I50" s="169">
        <f t="shared" ca="1" si="16"/>
        <v>1.2065519333850181</v>
      </c>
      <c r="J50" s="193">
        <f t="shared" ca="1" si="17"/>
        <v>50</v>
      </c>
      <c r="K50" s="169">
        <v>0.05</v>
      </c>
    </row>
    <row r="51" spans="1:11" ht="20.25" thickTop="1" thickBot="1" x14ac:dyDescent="0.35">
      <c r="A51" s="163">
        <v>20</v>
      </c>
      <c r="B51" s="164">
        <f t="shared" ca="1" si="12"/>
        <v>109</v>
      </c>
      <c r="C51" s="169">
        <f t="shared" ca="1" si="13"/>
        <v>0.11420624989067946</v>
      </c>
      <c r="D51" s="164">
        <f t="shared" ca="1" si="14"/>
        <v>0.50292342317971628</v>
      </c>
      <c r="E51" s="169">
        <v>0.05</v>
      </c>
      <c r="G51" s="163">
        <v>20</v>
      </c>
      <c r="H51" s="164">
        <f t="shared" ca="1" si="15"/>
        <v>9</v>
      </c>
      <c r="I51" s="169">
        <f t="shared" ca="1" si="16"/>
        <v>1.2778324850448408</v>
      </c>
      <c r="J51" s="193">
        <f t="shared" ca="1" si="17"/>
        <v>52</v>
      </c>
      <c r="K51" s="169">
        <v>0.05</v>
      </c>
    </row>
    <row r="52" spans="1:11" ht="20.25" thickTop="1" thickBot="1" x14ac:dyDescent="0.35">
      <c r="A52" s="162">
        <v>21</v>
      </c>
      <c r="B52" s="164">
        <f t="shared" ca="1" si="12"/>
        <v>120</v>
      </c>
      <c r="C52" s="169">
        <f t="shared" ca="1" si="13"/>
        <v>0.13408924393329896</v>
      </c>
      <c r="D52" s="164">
        <f t="shared" ca="1" si="14"/>
        <v>0.50164945268454442</v>
      </c>
      <c r="E52" s="169">
        <v>0.05</v>
      </c>
      <c r="G52" s="162">
        <v>21</v>
      </c>
      <c r="H52" s="164">
        <f t="shared" ca="1" si="15"/>
        <v>7</v>
      </c>
      <c r="I52" s="169">
        <f t="shared" ca="1" si="16"/>
        <v>1.292952853172451</v>
      </c>
      <c r="J52" s="193">
        <f t="shared" ca="1" si="17"/>
        <v>49</v>
      </c>
      <c r="K52" s="169">
        <v>0.05</v>
      </c>
    </row>
    <row r="53" spans="1:11" ht="20.25" thickTop="1" thickBot="1" x14ac:dyDescent="0.35">
      <c r="A53" s="163">
        <v>22</v>
      </c>
      <c r="B53" s="164">
        <f t="shared" ca="1" si="12"/>
        <v>111</v>
      </c>
      <c r="C53" s="169">
        <f t="shared" ca="1" si="13"/>
        <v>0.10625750452535557</v>
      </c>
      <c r="D53" s="164">
        <f t="shared" ca="1" si="14"/>
        <v>0.50662887633009646</v>
      </c>
      <c r="E53" s="169">
        <v>0.05</v>
      </c>
      <c r="G53" s="163">
        <v>22</v>
      </c>
      <c r="H53" s="164">
        <f t="shared" ca="1" si="15"/>
        <v>9</v>
      </c>
      <c r="I53" s="169">
        <f t="shared" ca="1" si="16"/>
        <v>1.2934299267518099</v>
      </c>
      <c r="J53" s="193">
        <f t="shared" ca="1" si="17"/>
        <v>51</v>
      </c>
      <c r="K53" s="169">
        <v>0.05</v>
      </c>
    </row>
    <row r="54" spans="1:11" ht="20.25" thickTop="1" thickBot="1" x14ac:dyDescent="0.35">
      <c r="A54" s="162">
        <v>23</v>
      </c>
      <c r="B54" s="164">
        <f t="shared" ca="1" si="12"/>
        <v>86</v>
      </c>
      <c r="C54" s="169">
        <f t="shared" ca="1" si="13"/>
        <v>0.10183923157740134</v>
      </c>
      <c r="D54" s="164">
        <f t="shared" ca="1" si="14"/>
        <v>0.49527952580127915</v>
      </c>
      <c r="E54" s="169">
        <v>0.05</v>
      </c>
      <c r="G54" s="162">
        <v>23</v>
      </c>
      <c r="H54" s="164">
        <f t="shared" ca="1" si="15"/>
        <v>6</v>
      </c>
      <c r="I54" s="169">
        <f t="shared" ca="1" si="16"/>
        <v>1.2223770346473093</v>
      </c>
      <c r="J54" s="193">
        <f t="shared" ca="1" si="17"/>
        <v>51</v>
      </c>
      <c r="K54" s="169">
        <v>0.05</v>
      </c>
    </row>
    <row r="55" spans="1:11" ht="20.25" thickTop="1" thickBot="1" x14ac:dyDescent="0.35">
      <c r="A55" s="163">
        <v>24</v>
      </c>
      <c r="B55" s="164">
        <f t="shared" ca="1" si="12"/>
        <v>83</v>
      </c>
      <c r="C55" s="169">
        <f t="shared" ca="1" si="13"/>
        <v>0.13594303020794626</v>
      </c>
      <c r="D55" s="164">
        <f t="shared" ca="1" si="14"/>
        <v>0.50947883518381465</v>
      </c>
      <c r="E55" s="169">
        <v>0.05</v>
      </c>
      <c r="G55" s="163">
        <v>24</v>
      </c>
      <c r="H55" s="164">
        <f t="shared" ca="1" si="15"/>
        <v>10</v>
      </c>
      <c r="I55" s="169">
        <f t="shared" ca="1" si="16"/>
        <v>1.0914665124873169</v>
      </c>
      <c r="J55" s="193">
        <f t="shared" ca="1" si="17"/>
        <v>52</v>
      </c>
      <c r="K55" s="169">
        <v>0.05</v>
      </c>
    </row>
    <row r="56" spans="1:11" ht="20.25" thickTop="1" thickBot="1" x14ac:dyDescent="0.35">
      <c r="A56" s="162">
        <v>25</v>
      </c>
      <c r="B56" s="164">
        <f t="shared" ca="1" si="12"/>
        <v>104</v>
      </c>
      <c r="C56" s="169">
        <f t="shared" ca="1" si="13"/>
        <v>0.13054424454982422</v>
      </c>
      <c r="D56" s="164">
        <f t="shared" ca="1" si="14"/>
        <v>0.51489858872697392</v>
      </c>
      <c r="E56" s="169">
        <v>0.05</v>
      </c>
      <c r="G56" s="162">
        <v>25</v>
      </c>
      <c r="H56" s="164">
        <f t="shared" ca="1" si="15"/>
        <v>7</v>
      </c>
      <c r="I56" s="169">
        <f t="shared" ca="1" si="16"/>
        <v>1.0584675291196688</v>
      </c>
      <c r="J56" s="193">
        <f t="shared" ca="1" si="17"/>
        <v>49</v>
      </c>
      <c r="K56" s="169">
        <v>0.05</v>
      </c>
    </row>
    <row r="57" spans="1:11" ht="20.25" thickTop="1" thickBot="1" x14ac:dyDescent="0.35">
      <c r="A57" s="163">
        <v>26</v>
      </c>
      <c r="B57" s="164">
        <f t="shared" ca="1" si="12"/>
        <v>89</v>
      </c>
      <c r="C57" s="169">
        <f t="shared" ca="1" si="13"/>
        <v>0.13998359128406512</v>
      </c>
      <c r="D57" s="164">
        <f t="shared" ca="1" si="14"/>
        <v>0.51049880656549695</v>
      </c>
      <c r="E57" s="169">
        <v>0.05</v>
      </c>
      <c r="G57" s="163">
        <v>26</v>
      </c>
      <c r="H57" s="164">
        <f t="shared" ca="1" si="15"/>
        <v>9</v>
      </c>
      <c r="I57" s="169">
        <f t="shared" ca="1" si="16"/>
        <v>1.2829622252377564</v>
      </c>
      <c r="J57" s="193">
        <f t="shared" ca="1" si="17"/>
        <v>48</v>
      </c>
      <c r="K57" s="169">
        <v>0.05</v>
      </c>
    </row>
    <row r="58" spans="1:11" ht="19.5" thickTop="1" x14ac:dyDescent="0.3"/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3" shapeId="45058" r:id="rId3">
          <objectPr defaultSize="0" autoPict="0" r:id="rId4">
            <anchor moveWithCells="1" sizeWithCells="1">
              <from>
                <xdr:col>3</xdr:col>
                <xdr:colOff>66675</xdr:colOff>
                <xdr:row>1</xdr:row>
                <xdr:rowOff>133350</xdr:rowOff>
              </from>
              <to>
                <xdr:col>3</xdr:col>
                <xdr:colOff>552450</xdr:colOff>
                <xdr:row>1</xdr:row>
                <xdr:rowOff>447675</xdr:rowOff>
              </to>
            </anchor>
          </objectPr>
        </oleObject>
      </mc:Choice>
      <mc:Fallback>
        <oleObject progId="Equation.3" shapeId="45058" r:id="rId3"/>
      </mc:Fallback>
    </mc:AlternateContent>
    <mc:AlternateContent xmlns:mc="http://schemas.openxmlformats.org/markup-compatibility/2006">
      <mc:Choice Requires="x14">
        <oleObject progId="Equation.3" shapeId="45061" r:id="rId5">
          <objectPr defaultSize="0" autoPict="0" r:id="rId4">
            <anchor moveWithCells="1" sizeWithCells="1">
              <from>
                <xdr:col>9</xdr:col>
                <xdr:colOff>66675</xdr:colOff>
                <xdr:row>1</xdr:row>
                <xdr:rowOff>133350</xdr:rowOff>
              </from>
              <to>
                <xdr:col>9</xdr:col>
                <xdr:colOff>552450</xdr:colOff>
                <xdr:row>1</xdr:row>
                <xdr:rowOff>447675</xdr:rowOff>
              </to>
            </anchor>
          </objectPr>
        </oleObject>
      </mc:Choice>
      <mc:Fallback>
        <oleObject progId="Equation.3" shapeId="45061" r:id="rId5"/>
      </mc:Fallback>
    </mc:AlternateContent>
    <mc:AlternateContent xmlns:mc="http://schemas.openxmlformats.org/markup-compatibility/2006">
      <mc:Choice Requires="x14">
        <oleObject progId="Equation.3" shapeId="45062" r:id="rId6">
          <objectPr defaultSize="0" autoPict="0" r:id="rId4">
            <anchor moveWithCells="1" sizeWithCells="1">
              <from>
                <xdr:col>15</xdr:col>
                <xdr:colOff>66675</xdr:colOff>
                <xdr:row>1</xdr:row>
                <xdr:rowOff>133350</xdr:rowOff>
              </from>
              <to>
                <xdr:col>15</xdr:col>
                <xdr:colOff>552450</xdr:colOff>
                <xdr:row>1</xdr:row>
                <xdr:rowOff>447675</xdr:rowOff>
              </to>
            </anchor>
          </objectPr>
        </oleObject>
      </mc:Choice>
      <mc:Fallback>
        <oleObject progId="Equation.3" shapeId="45062" r:id="rId6"/>
      </mc:Fallback>
    </mc:AlternateContent>
    <mc:AlternateContent xmlns:mc="http://schemas.openxmlformats.org/markup-compatibility/2006">
      <mc:Choice Requires="x14">
        <oleObject progId="Equation.3" shapeId="45063" r:id="rId7">
          <objectPr defaultSize="0" autoPict="0" r:id="rId4">
            <anchor moveWithCells="1" sizeWithCells="1">
              <from>
                <xdr:col>3</xdr:col>
                <xdr:colOff>66675</xdr:colOff>
                <xdr:row>30</xdr:row>
                <xdr:rowOff>133350</xdr:rowOff>
              </from>
              <to>
                <xdr:col>3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3" r:id="rId7"/>
      </mc:Fallback>
    </mc:AlternateContent>
    <mc:AlternateContent xmlns:mc="http://schemas.openxmlformats.org/markup-compatibility/2006">
      <mc:Choice Requires="x14">
        <oleObject progId="Equation.3" shapeId="45064" r:id="rId8">
          <objectPr defaultSize="0" autoPict="0" r:id="rId4">
            <anchor moveWithCells="1" sizeWithCells="1">
              <from>
                <xdr:col>9</xdr:col>
                <xdr:colOff>66675</xdr:colOff>
                <xdr:row>30</xdr:row>
                <xdr:rowOff>133350</xdr:rowOff>
              </from>
              <to>
                <xdr:col>9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4" r:id="rId8"/>
      </mc:Fallback>
    </mc:AlternateContent>
    <mc:AlternateContent xmlns:mc="http://schemas.openxmlformats.org/markup-compatibility/2006">
      <mc:Choice Requires="x14">
        <oleObject progId="Equation.3" shapeId="45065" r:id="rId9">
          <objectPr defaultSize="0" autoPict="0" r:id="rId4">
            <anchor moveWithCells="1" sizeWithCells="1">
              <from>
                <xdr:col>9</xdr:col>
                <xdr:colOff>66675</xdr:colOff>
                <xdr:row>30</xdr:row>
                <xdr:rowOff>133350</xdr:rowOff>
              </from>
              <to>
                <xdr:col>9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5" r:id="rId9"/>
      </mc:Fallback>
    </mc:AlternateContent>
    <mc:AlternateContent xmlns:mc="http://schemas.openxmlformats.org/markup-compatibility/2006">
      <mc:Choice Requires="x14">
        <oleObject progId="Equation.3" shapeId="45066" r:id="rId10">
          <objectPr defaultSize="0" autoPict="0" r:id="rId4">
            <anchor moveWithCells="1" sizeWithCells="1">
              <from>
                <xdr:col>15</xdr:col>
                <xdr:colOff>66675</xdr:colOff>
                <xdr:row>30</xdr:row>
                <xdr:rowOff>133350</xdr:rowOff>
              </from>
              <to>
                <xdr:col>15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6" r:id="rId10"/>
      </mc:Fallback>
    </mc:AlternateContent>
    <mc:AlternateContent xmlns:mc="http://schemas.openxmlformats.org/markup-compatibility/2006">
      <mc:Choice Requires="x14">
        <oleObject progId="Equation.3" shapeId="45067" r:id="rId11">
          <objectPr defaultSize="0" autoPict="0" r:id="rId4">
            <anchor moveWithCells="1" sizeWithCells="1">
              <from>
                <xdr:col>15</xdr:col>
                <xdr:colOff>66675</xdr:colOff>
                <xdr:row>30</xdr:row>
                <xdr:rowOff>133350</xdr:rowOff>
              </from>
              <to>
                <xdr:col>15</xdr:col>
                <xdr:colOff>552450</xdr:colOff>
                <xdr:row>30</xdr:row>
                <xdr:rowOff>447675</xdr:rowOff>
              </to>
            </anchor>
          </objectPr>
        </oleObject>
      </mc:Choice>
      <mc:Fallback>
        <oleObject progId="Equation.3" shapeId="45067" r:id="rId11"/>
      </mc:Fallback>
    </mc:AlternateContent>
  </oleObjec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V32"/>
  <sheetViews>
    <sheetView topLeftCell="F1" workbookViewId="0">
      <selection activeCell="J3" sqref="J3:O31"/>
    </sheetView>
  </sheetViews>
  <sheetFormatPr defaultRowHeight="15" x14ac:dyDescent="0.25"/>
  <cols>
    <col min="6" max="6" width="18.42578125" customWidth="1"/>
    <col min="7" max="7" width="15.140625" customWidth="1"/>
  </cols>
  <sheetData>
    <row r="3" spans="1:22" ht="24.75" x14ac:dyDescent="0.45">
      <c r="J3" s="190" t="s">
        <v>318</v>
      </c>
      <c r="L3" s="190" t="s">
        <v>319</v>
      </c>
      <c r="N3" s="190" t="s">
        <v>320</v>
      </c>
      <c r="Q3" s="190" t="s">
        <v>318</v>
      </c>
      <c r="S3" s="190" t="s">
        <v>319</v>
      </c>
      <c r="U3" s="190" t="s">
        <v>320</v>
      </c>
    </row>
    <row r="4" spans="1:22" ht="15.75" thickBot="1" x14ac:dyDescent="0.3"/>
    <row r="5" spans="1:22" ht="71.25" customHeight="1" thickTop="1" thickBot="1" x14ac:dyDescent="0.3">
      <c r="A5" s="186" t="s">
        <v>204</v>
      </c>
      <c r="B5" s="166" t="s">
        <v>276</v>
      </c>
      <c r="C5" s="187" t="s">
        <v>277</v>
      </c>
      <c r="D5" s="167"/>
      <c r="E5" s="167"/>
      <c r="F5" s="170" t="s">
        <v>315</v>
      </c>
      <c r="G5" s="170" t="s">
        <v>314</v>
      </c>
      <c r="H5" s="172" t="s">
        <v>306</v>
      </c>
      <c r="J5" s="186" t="s">
        <v>204</v>
      </c>
      <c r="K5" s="166" t="s">
        <v>276</v>
      </c>
      <c r="L5" s="187" t="s">
        <v>316</v>
      </c>
      <c r="M5" s="187" t="s">
        <v>317</v>
      </c>
      <c r="N5" s="170" t="s">
        <v>315</v>
      </c>
      <c r="O5" s="172" t="s">
        <v>306</v>
      </c>
      <c r="Q5" s="186" t="s">
        <v>204</v>
      </c>
      <c r="R5" s="166" t="s">
        <v>276</v>
      </c>
      <c r="S5" s="187" t="s">
        <v>316</v>
      </c>
      <c r="T5" s="187" t="s">
        <v>317</v>
      </c>
      <c r="U5" s="170" t="s">
        <v>315</v>
      </c>
      <c r="V5" s="172" t="s">
        <v>306</v>
      </c>
    </row>
    <row r="6" spans="1:22" ht="20.25" thickTop="1" thickBot="1" x14ac:dyDescent="0.35">
      <c r="A6" s="162">
        <v>1</v>
      </c>
      <c r="B6" s="164">
        <f ca="1">RANDBETWEEN(25,35)</f>
        <v>31</v>
      </c>
      <c r="C6" s="164">
        <f ca="1">RANDBETWEEN(35,45)</f>
        <v>42</v>
      </c>
      <c r="D6" s="164">
        <f ca="1">RANDBETWEEN(110,140)</f>
        <v>112</v>
      </c>
      <c r="E6" s="164">
        <f ca="1">RANDBETWEEN(120,145)</f>
        <v>136</v>
      </c>
      <c r="F6" s="164">
        <f ca="1">RANDBETWEEN(50,70)</f>
        <v>70</v>
      </c>
      <c r="G6" s="164">
        <f ca="1">RANDBETWEEN(70,90)</f>
        <v>90</v>
      </c>
      <c r="H6" s="169">
        <v>0.1</v>
      </c>
      <c r="J6" s="163">
        <v>1</v>
      </c>
      <c r="K6" s="164">
        <f ca="1">RANDBETWEEN(40,60)</f>
        <v>41</v>
      </c>
      <c r="L6" s="164">
        <f ca="1">2.5*RAND()+179</f>
        <v>180.65813983077314</v>
      </c>
      <c r="M6" s="164">
        <f ca="1">3.3*RAND()+179</f>
        <v>180.67668228059395</v>
      </c>
      <c r="N6" s="164">
        <f ca="1">0.6*RAND()+3.9</f>
        <v>4.4812521144301085</v>
      </c>
      <c r="O6" s="169">
        <v>0.05</v>
      </c>
      <c r="Q6" s="163">
        <v>14</v>
      </c>
      <c r="R6" s="164">
        <f ca="1">RANDBETWEEN(40,60)</f>
        <v>54</v>
      </c>
      <c r="S6" s="164">
        <f t="shared" ref="S6:S18" ca="1" si="0">2.5*RAND()+179</f>
        <v>179.3612487558664</v>
      </c>
      <c r="T6" s="164">
        <f t="shared" ref="T6:T18" ca="1" si="1">3.3*RAND()+179</f>
        <v>181.34106343466254</v>
      </c>
      <c r="U6" s="164">
        <f t="shared" ref="U6:U18" ca="1" si="2">0.6*RAND()+3.9</f>
        <v>4.1436779551780729</v>
      </c>
      <c r="V6" s="169">
        <v>0.1</v>
      </c>
    </row>
    <row r="7" spans="1:22" ht="20.25" thickTop="1" thickBot="1" x14ac:dyDescent="0.35">
      <c r="A7" s="163">
        <v>2</v>
      </c>
      <c r="B7" s="164">
        <f t="shared" ref="B7:B31" ca="1" si="3">RANDBETWEEN(25,35)</f>
        <v>33</v>
      </c>
      <c r="C7" s="164">
        <f t="shared" ref="C7:C31" ca="1" si="4">RANDBETWEEN(35,45)</f>
        <v>38</v>
      </c>
      <c r="D7" s="164">
        <f t="shared" ref="D7:D31" ca="1" si="5">RANDBETWEEN(110,140)</f>
        <v>123</v>
      </c>
      <c r="E7" s="164">
        <f t="shared" ref="E7:E31" ca="1" si="6">RANDBETWEEN(120,145)</f>
        <v>133</v>
      </c>
      <c r="F7" s="164">
        <f t="shared" ref="F7:F31" ca="1" si="7">RANDBETWEEN(50,70)</f>
        <v>52</v>
      </c>
      <c r="G7" s="164">
        <f t="shared" ref="G7:G31" ca="1" si="8">RANDBETWEEN(70,90)</f>
        <v>85</v>
      </c>
      <c r="H7" s="169">
        <v>0.1</v>
      </c>
      <c r="J7" s="162">
        <v>2</v>
      </c>
      <c r="K7" s="164">
        <f t="shared" ref="K7:K31" ca="1" si="9">RANDBETWEEN(25,35)</f>
        <v>25</v>
      </c>
      <c r="L7" s="164">
        <f t="shared" ref="L7:L31" ca="1" si="10">2.5*RAND()+179</f>
        <v>181.09582357681597</v>
      </c>
      <c r="M7" s="164">
        <f t="shared" ref="M7:M31" ca="1" si="11">3.3*RAND()+179</f>
        <v>179.88905107526665</v>
      </c>
      <c r="N7" s="164">
        <f t="shared" ref="N7:N31" ca="1" si="12">0.6*RAND()+3.9</f>
        <v>4.3273481233541702</v>
      </c>
      <c r="O7" s="169">
        <v>0.05</v>
      </c>
      <c r="Q7" s="162">
        <v>15</v>
      </c>
      <c r="R7" s="164">
        <f t="shared" ref="R7:R18" ca="1" si="13">RANDBETWEEN(25,35)</f>
        <v>28</v>
      </c>
      <c r="S7" s="164">
        <f t="shared" ca="1" si="0"/>
        <v>181.13924821542059</v>
      </c>
      <c r="T7" s="164">
        <f t="shared" ca="1" si="1"/>
        <v>181.53107707912358</v>
      </c>
      <c r="U7" s="164">
        <f t="shared" ca="1" si="2"/>
        <v>4.0702509408350807</v>
      </c>
      <c r="V7" s="169">
        <v>0.1</v>
      </c>
    </row>
    <row r="8" spans="1:22" ht="20.25" thickTop="1" thickBot="1" x14ac:dyDescent="0.35">
      <c r="A8" s="162">
        <v>3</v>
      </c>
      <c r="B8" s="164">
        <f t="shared" ca="1" si="3"/>
        <v>35</v>
      </c>
      <c r="C8" s="164">
        <f t="shared" ca="1" si="4"/>
        <v>45</v>
      </c>
      <c r="D8" s="164">
        <f t="shared" ca="1" si="5"/>
        <v>124</v>
      </c>
      <c r="E8" s="164">
        <f t="shared" ca="1" si="6"/>
        <v>132</v>
      </c>
      <c r="F8" s="164">
        <f t="shared" ca="1" si="7"/>
        <v>52</v>
      </c>
      <c r="G8" s="164">
        <f t="shared" ca="1" si="8"/>
        <v>79</v>
      </c>
      <c r="H8" s="169">
        <v>0.1</v>
      </c>
      <c r="J8" s="163">
        <v>3</v>
      </c>
      <c r="K8" s="164">
        <f t="shared" ca="1" si="9"/>
        <v>26</v>
      </c>
      <c r="L8" s="164">
        <f t="shared" ca="1" si="10"/>
        <v>179.63184020221109</v>
      </c>
      <c r="M8" s="164">
        <f t="shared" ca="1" si="11"/>
        <v>180.05399921189988</v>
      </c>
      <c r="N8" s="164">
        <f t="shared" ca="1" si="12"/>
        <v>3.9578467706772038</v>
      </c>
      <c r="O8" s="169">
        <v>0.05</v>
      </c>
      <c r="Q8" s="163">
        <v>16</v>
      </c>
      <c r="R8" s="164">
        <f t="shared" ca="1" si="13"/>
        <v>28</v>
      </c>
      <c r="S8" s="164">
        <f t="shared" ca="1" si="0"/>
        <v>181.09713898822866</v>
      </c>
      <c r="T8" s="164">
        <f t="shared" ca="1" si="1"/>
        <v>180.57950866652357</v>
      </c>
      <c r="U8" s="164">
        <f t="shared" ca="1" si="2"/>
        <v>4.0715973361889537</v>
      </c>
      <c r="V8" s="169">
        <v>0.1</v>
      </c>
    </row>
    <row r="9" spans="1:22" ht="20.25" thickTop="1" thickBot="1" x14ac:dyDescent="0.35">
      <c r="A9" s="163">
        <v>4</v>
      </c>
      <c r="B9" s="164">
        <f t="shared" ca="1" si="3"/>
        <v>32</v>
      </c>
      <c r="C9" s="164">
        <f t="shared" ca="1" si="4"/>
        <v>43</v>
      </c>
      <c r="D9" s="164">
        <f t="shared" ca="1" si="5"/>
        <v>140</v>
      </c>
      <c r="E9" s="164">
        <f t="shared" ca="1" si="6"/>
        <v>138</v>
      </c>
      <c r="F9" s="164">
        <f t="shared" ca="1" si="7"/>
        <v>54</v>
      </c>
      <c r="G9" s="164">
        <f t="shared" ca="1" si="8"/>
        <v>88</v>
      </c>
      <c r="H9" s="169">
        <v>0.1</v>
      </c>
      <c r="J9" s="162">
        <v>4</v>
      </c>
      <c r="K9" s="164">
        <f t="shared" ca="1" si="9"/>
        <v>27</v>
      </c>
      <c r="L9" s="164">
        <f t="shared" ca="1" si="10"/>
        <v>179.13548185661304</v>
      </c>
      <c r="M9" s="164">
        <f t="shared" ca="1" si="11"/>
        <v>181.02307457133938</v>
      </c>
      <c r="N9" s="164">
        <f t="shared" ca="1" si="12"/>
        <v>4.1667385520989288</v>
      </c>
      <c r="O9" s="169">
        <v>0.05</v>
      </c>
      <c r="Q9" s="162">
        <v>17</v>
      </c>
      <c r="R9" s="164">
        <f t="shared" ca="1" si="13"/>
        <v>32</v>
      </c>
      <c r="S9" s="164">
        <f t="shared" ca="1" si="0"/>
        <v>180.4612912384635</v>
      </c>
      <c r="T9" s="164">
        <f t="shared" ca="1" si="1"/>
        <v>180.15036997991015</v>
      </c>
      <c r="U9" s="164">
        <f t="shared" ca="1" si="2"/>
        <v>4.1717483305117717</v>
      </c>
      <c r="V9" s="169">
        <v>0.1</v>
      </c>
    </row>
    <row r="10" spans="1:22" ht="20.25" thickTop="1" thickBot="1" x14ac:dyDescent="0.35">
      <c r="A10" s="162">
        <v>5</v>
      </c>
      <c r="B10" s="164">
        <f t="shared" ca="1" si="3"/>
        <v>27</v>
      </c>
      <c r="C10" s="164">
        <f t="shared" ca="1" si="4"/>
        <v>37</v>
      </c>
      <c r="D10" s="164">
        <f t="shared" ca="1" si="5"/>
        <v>135</v>
      </c>
      <c r="E10" s="164">
        <f t="shared" ca="1" si="6"/>
        <v>123</v>
      </c>
      <c r="F10" s="164">
        <f t="shared" ca="1" si="7"/>
        <v>52</v>
      </c>
      <c r="G10" s="164">
        <f t="shared" ca="1" si="8"/>
        <v>74</v>
      </c>
      <c r="H10" s="169">
        <v>0.1</v>
      </c>
      <c r="J10" s="163">
        <v>5</v>
      </c>
      <c r="K10" s="164">
        <f t="shared" ca="1" si="9"/>
        <v>27</v>
      </c>
      <c r="L10" s="164">
        <f t="shared" ca="1" si="10"/>
        <v>181.07947562944</v>
      </c>
      <c r="M10" s="164">
        <f t="shared" ca="1" si="11"/>
        <v>180.29965527300459</v>
      </c>
      <c r="N10" s="164">
        <f t="shared" ca="1" si="12"/>
        <v>3.9494841818314672</v>
      </c>
      <c r="O10" s="169">
        <v>0.05</v>
      </c>
      <c r="Q10" s="163">
        <v>18</v>
      </c>
      <c r="R10" s="164">
        <f t="shared" ca="1" si="13"/>
        <v>25</v>
      </c>
      <c r="S10" s="164">
        <f t="shared" ca="1" si="0"/>
        <v>180.34333891881863</v>
      </c>
      <c r="T10" s="164">
        <f t="shared" ca="1" si="1"/>
        <v>181.67249773635174</v>
      </c>
      <c r="U10" s="164">
        <f t="shared" ca="1" si="2"/>
        <v>4.4283391539264167</v>
      </c>
      <c r="V10" s="169">
        <v>0.1</v>
      </c>
    </row>
    <row r="11" spans="1:22" ht="20.25" thickTop="1" thickBot="1" x14ac:dyDescent="0.35">
      <c r="A11" s="163">
        <v>6</v>
      </c>
      <c r="B11" s="164">
        <f t="shared" ca="1" si="3"/>
        <v>31</v>
      </c>
      <c r="C11" s="164">
        <f t="shared" ca="1" si="4"/>
        <v>37</v>
      </c>
      <c r="D11" s="164">
        <f t="shared" ca="1" si="5"/>
        <v>110</v>
      </c>
      <c r="E11" s="164">
        <f t="shared" ca="1" si="6"/>
        <v>123</v>
      </c>
      <c r="F11" s="164">
        <f t="shared" ca="1" si="7"/>
        <v>58</v>
      </c>
      <c r="G11" s="164">
        <f t="shared" ca="1" si="8"/>
        <v>79</v>
      </c>
      <c r="H11" s="169">
        <v>0.1</v>
      </c>
      <c r="J11" s="162">
        <v>6</v>
      </c>
      <c r="K11" s="164">
        <f t="shared" ca="1" si="9"/>
        <v>30</v>
      </c>
      <c r="L11" s="164">
        <f t="shared" ca="1" si="10"/>
        <v>181.01910137658825</v>
      </c>
      <c r="M11" s="164">
        <f t="shared" ca="1" si="11"/>
        <v>180.01663746346</v>
      </c>
      <c r="N11" s="164">
        <f t="shared" ca="1" si="12"/>
        <v>4.4459497924936775</v>
      </c>
      <c r="O11" s="169">
        <v>0.05</v>
      </c>
      <c r="Q11" s="162">
        <v>19</v>
      </c>
      <c r="R11" s="164">
        <f t="shared" ca="1" si="13"/>
        <v>28</v>
      </c>
      <c r="S11" s="164">
        <f t="shared" ca="1" si="0"/>
        <v>180.25421529552526</v>
      </c>
      <c r="T11" s="164">
        <f t="shared" ca="1" si="1"/>
        <v>180.83876538185271</v>
      </c>
      <c r="U11" s="164">
        <f t="shared" ca="1" si="2"/>
        <v>4.2267287591158436</v>
      </c>
      <c r="V11" s="169">
        <v>0.1</v>
      </c>
    </row>
    <row r="12" spans="1:22" ht="20.25" thickTop="1" thickBot="1" x14ac:dyDescent="0.35">
      <c r="A12" s="162">
        <v>7</v>
      </c>
      <c r="B12" s="164">
        <f t="shared" ca="1" si="3"/>
        <v>35</v>
      </c>
      <c r="C12" s="164">
        <f t="shared" ca="1" si="4"/>
        <v>43</v>
      </c>
      <c r="D12" s="164">
        <f t="shared" ca="1" si="5"/>
        <v>119</v>
      </c>
      <c r="E12" s="164">
        <f t="shared" ca="1" si="6"/>
        <v>137</v>
      </c>
      <c r="F12" s="164">
        <f t="shared" ca="1" si="7"/>
        <v>52</v>
      </c>
      <c r="G12" s="164">
        <f t="shared" ca="1" si="8"/>
        <v>77</v>
      </c>
      <c r="H12" s="169">
        <v>0.1</v>
      </c>
      <c r="J12" s="163">
        <v>7</v>
      </c>
      <c r="K12" s="164">
        <f t="shared" ca="1" si="9"/>
        <v>25</v>
      </c>
      <c r="L12" s="164">
        <f t="shared" ca="1" si="10"/>
        <v>179.22941527218569</v>
      </c>
      <c r="M12" s="164">
        <f t="shared" ca="1" si="11"/>
        <v>180.44604826233831</v>
      </c>
      <c r="N12" s="164">
        <f t="shared" ca="1" si="12"/>
        <v>3.9805921096470422</v>
      </c>
      <c r="O12" s="169">
        <v>0.05</v>
      </c>
      <c r="Q12" s="163">
        <v>20</v>
      </c>
      <c r="R12" s="164">
        <f t="shared" ca="1" si="13"/>
        <v>31</v>
      </c>
      <c r="S12" s="164">
        <f t="shared" ca="1" si="0"/>
        <v>180.86413346981189</v>
      </c>
      <c r="T12" s="164">
        <f t="shared" ca="1" si="1"/>
        <v>181.30246455433229</v>
      </c>
      <c r="U12" s="164">
        <f t="shared" ca="1" si="2"/>
        <v>4.2879404895366653</v>
      </c>
      <c r="V12" s="169">
        <v>0.1</v>
      </c>
    </row>
    <row r="13" spans="1:22" ht="20.25" thickTop="1" thickBot="1" x14ac:dyDescent="0.35">
      <c r="A13" s="163">
        <v>8</v>
      </c>
      <c r="B13" s="164">
        <f t="shared" ca="1" si="3"/>
        <v>33</v>
      </c>
      <c r="C13" s="164">
        <f t="shared" ca="1" si="4"/>
        <v>36</v>
      </c>
      <c r="D13" s="164">
        <f t="shared" ca="1" si="5"/>
        <v>124</v>
      </c>
      <c r="E13" s="164">
        <f t="shared" ca="1" si="6"/>
        <v>137</v>
      </c>
      <c r="F13" s="164">
        <f t="shared" ca="1" si="7"/>
        <v>64</v>
      </c>
      <c r="G13" s="164">
        <f t="shared" ca="1" si="8"/>
        <v>85</v>
      </c>
      <c r="H13" s="169">
        <v>0.1</v>
      </c>
      <c r="J13" s="162">
        <v>8</v>
      </c>
      <c r="K13" s="164">
        <f t="shared" ca="1" si="9"/>
        <v>26</v>
      </c>
      <c r="L13" s="164">
        <f t="shared" ca="1" si="10"/>
        <v>180.45643022347255</v>
      </c>
      <c r="M13" s="164">
        <f t="shared" ca="1" si="11"/>
        <v>180.09041376507287</v>
      </c>
      <c r="N13" s="164">
        <f t="shared" ca="1" si="12"/>
        <v>4.1757744009753184</v>
      </c>
      <c r="O13" s="169">
        <v>0.05</v>
      </c>
      <c r="Q13" s="162">
        <v>21</v>
      </c>
      <c r="R13" s="164">
        <f t="shared" ca="1" si="13"/>
        <v>32</v>
      </c>
      <c r="S13" s="164">
        <f t="shared" ca="1" si="0"/>
        <v>179.26591390899165</v>
      </c>
      <c r="T13" s="164">
        <f t="shared" ca="1" si="1"/>
        <v>181.49469978275536</v>
      </c>
      <c r="U13" s="164">
        <f t="shared" ca="1" si="2"/>
        <v>3.9586541373555426</v>
      </c>
      <c r="V13" s="169">
        <v>0.1</v>
      </c>
    </row>
    <row r="14" spans="1:22" ht="20.25" thickTop="1" thickBot="1" x14ac:dyDescent="0.35">
      <c r="A14" s="162">
        <v>9</v>
      </c>
      <c r="B14" s="164">
        <f t="shared" ca="1" si="3"/>
        <v>31</v>
      </c>
      <c r="C14" s="164">
        <f t="shared" ca="1" si="4"/>
        <v>37</v>
      </c>
      <c r="D14" s="164">
        <f t="shared" ca="1" si="5"/>
        <v>134</v>
      </c>
      <c r="E14" s="164">
        <f t="shared" ca="1" si="6"/>
        <v>132</v>
      </c>
      <c r="F14" s="164">
        <f t="shared" ca="1" si="7"/>
        <v>51</v>
      </c>
      <c r="G14" s="164">
        <f t="shared" ca="1" si="8"/>
        <v>80</v>
      </c>
      <c r="H14" s="169">
        <v>0.1</v>
      </c>
      <c r="J14" s="163">
        <v>9</v>
      </c>
      <c r="K14" s="164">
        <f t="shared" ca="1" si="9"/>
        <v>32</v>
      </c>
      <c r="L14" s="164">
        <f t="shared" ca="1" si="10"/>
        <v>179.91891275041218</v>
      </c>
      <c r="M14" s="164">
        <f t="shared" ca="1" si="11"/>
        <v>181.30422667340781</v>
      </c>
      <c r="N14" s="164">
        <f t="shared" ca="1" si="12"/>
        <v>4.1294740003950476</v>
      </c>
      <c r="O14" s="169">
        <v>0.05</v>
      </c>
      <c r="Q14" s="163">
        <v>22</v>
      </c>
      <c r="R14" s="164">
        <f t="shared" ca="1" si="13"/>
        <v>31</v>
      </c>
      <c r="S14" s="164">
        <f t="shared" ca="1" si="0"/>
        <v>179.83864435274222</v>
      </c>
      <c r="T14" s="164">
        <f t="shared" ca="1" si="1"/>
        <v>181.34564520600173</v>
      </c>
      <c r="U14" s="164">
        <f t="shared" ca="1" si="2"/>
        <v>4.4624089669529381</v>
      </c>
      <c r="V14" s="169">
        <v>0.1</v>
      </c>
    </row>
    <row r="15" spans="1:22" ht="20.25" thickTop="1" thickBot="1" x14ac:dyDescent="0.35">
      <c r="A15" s="163">
        <v>10</v>
      </c>
      <c r="B15" s="164">
        <f t="shared" ca="1" si="3"/>
        <v>29</v>
      </c>
      <c r="C15" s="164">
        <f t="shared" ca="1" si="4"/>
        <v>42</v>
      </c>
      <c r="D15" s="164">
        <f t="shared" ca="1" si="5"/>
        <v>115</v>
      </c>
      <c r="E15" s="164">
        <f t="shared" ca="1" si="6"/>
        <v>131</v>
      </c>
      <c r="F15" s="164">
        <f t="shared" ca="1" si="7"/>
        <v>66</v>
      </c>
      <c r="G15" s="164">
        <f t="shared" ca="1" si="8"/>
        <v>90</v>
      </c>
      <c r="H15" s="169">
        <v>0.1</v>
      </c>
      <c r="J15" s="162">
        <v>10</v>
      </c>
      <c r="K15" s="164">
        <f t="shared" ca="1" si="9"/>
        <v>31</v>
      </c>
      <c r="L15" s="164">
        <f t="shared" ca="1" si="10"/>
        <v>179.45150507745274</v>
      </c>
      <c r="M15" s="164">
        <f t="shared" ca="1" si="11"/>
        <v>179.06250277739852</v>
      </c>
      <c r="N15" s="164">
        <f t="shared" ca="1" si="12"/>
        <v>4.484528961180632</v>
      </c>
      <c r="O15" s="169">
        <v>0.05</v>
      </c>
      <c r="Q15" s="162">
        <v>23</v>
      </c>
      <c r="R15" s="164">
        <f t="shared" ca="1" si="13"/>
        <v>26</v>
      </c>
      <c r="S15" s="164">
        <f t="shared" ca="1" si="0"/>
        <v>180.69828751103393</v>
      </c>
      <c r="T15" s="164">
        <f t="shared" ca="1" si="1"/>
        <v>181.59782528190789</v>
      </c>
      <c r="U15" s="164">
        <f t="shared" ca="1" si="2"/>
        <v>3.9597440566021183</v>
      </c>
      <c r="V15" s="169">
        <v>0.1</v>
      </c>
    </row>
    <row r="16" spans="1:22" ht="20.25" thickTop="1" thickBot="1" x14ac:dyDescent="0.35">
      <c r="A16" s="162">
        <v>11</v>
      </c>
      <c r="B16" s="164">
        <f t="shared" ca="1" si="3"/>
        <v>26</v>
      </c>
      <c r="C16" s="164">
        <f t="shared" ca="1" si="4"/>
        <v>41</v>
      </c>
      <c r="D16" s="164">
        <f t="shared" ca="1" si="5"/>
        <v>113</v>
      </c>
      <c r="E16" s="164">
        <f t="shared" ca="1" si="6"/>
        <v>126</v>
      </c>
      <c r="F16" s="164">
        <f t="shared" ca="1" si="7"/>
        <v>61</v>
      </c>
      <c r="G16" s="164">
        <f t="shared" ca="1" si="8"/>
        <v>88</v>
      </c>
      <c r="H16" s="169">
        <v>0.1</v>
      </c>
      <c r="J16" s="163">
        <v>11</v>
      </c>
      <c r="K16" s="164">
        <f t="shared" ca="1" si="9"/>
        <v>31</v>
      </c>
      <c r="L16" s="164">
        <f t="shared" ca="1" si="10"/>
        <v>181.40950882059536</v>
      </c>
      <c r="M16" s="164">
        <f t="shared" ca="1" si="11"/>
        <v>182.04683556560693</v>
      </c>
      <c r="N16" s="164">
        <f t="shared" ca="1" si="12"/>
        <v>4.440065360822258</v>
      </c>
      <c r="O16" s="169">
        <v>0.05</v>
      </c>
      <c r="Q16" s="163">
        <v>24</v>
      </c>
      <c r="R16" s="164">
        <f t="shared" ca="1" si="13"/>
        <v>26</v>
      </c>
      <c r="S16" s="164">
        <f t="shared" ca="1" si="0"/>
        <v>179.47609307308969</v>
      </c>
      <c r="T16" s="164">
        <f t="shared" ca="1" si="1"/>
        <v>179.94390803396939</v>
      </c>
      <c r="U16" s="164">
        <f t="shared" ca="1" si="2"/>
        <v>4.0178113083506357</v>
      </c>
      <c r="V16" s="169">
        <v>0.1</v>
      </c>
    </row>
    <row r="17" spans="1:22" ht="20.25" thickTop="1" thickBot="1" x14ac:dyDescent="0.35">
      <c r="A17" s="163">
        <v>12</v>
      </c>
      <c r="B17" s="164">
        <f t="shared" ca="1" si="3"/>
        <v>27</v>
      </c>
      <c r="C17" s="164">
        <f t="shared" ca="1" si="4"/>
        <v>38</v>
      </c>
      <c r="D17" s="164">
        <f t="shared" ca="1" si="5"/>
        <v>138</v>
      </c>
      <c r="E17" s="164">
        <f t="shared" ca="1" si="6"/>
        <v>136</v>
      </c>
      <c r="F17" s="164">
        <f t="shared" ca="1" si="7"/>
        <v>64</v>
      </c>
      <c r="G17" s="164">
        <f t="shared" ca="1" si="8"/>
        <v>81</v>
      </c>
      <c r="H17" s="169">
        <v>0.1</v>
      </c>
      <c r="J17" s="162">
        <v>12</v>
      </c>
      <c r="K17" s="164">
        <f t="shared" ca="1" si="9"/>
        <v>25</v>
      </c>
      <c r="L17" s="164">
        <f t="shared" ca="1" si="10"/>
        <v>180.72862088864224</v>
      </c>
      <c r="M17" s="164">
        <f t="shared" ca="1" si="11"/>
        <v>179.27181430006425</v>
      </c>
      <c r="N17" s="164">
        <f t="shared" ca="1" si="12"/>
        <v>4.4789691483084395</v>
      </c>
      <c r="O17" s="169">
        <v>0.05</v>
      </c>
      <c r="Q17" s="162">
        <v>25</v>
      </c>
      <c r="R17" s="164">
        <f t="shared" ca="1" si="13"/>
        <v>30</v>
      </c>
      <c r="S17" s="164">
        <f t="shared" ca="1" si="0"/>
        <v>180.77710540034712</v>
      </c>
      <c r="T17" s="164">
        <f t="shared" ca="1" si="1"/>
        <v>181.37075425373888</v>
      </c>
      <c r="U17" s="164">
        <f t="shared" ca="1" si="2"/>
        <v>4.4031270374556506</v>
      </c>
      <c r="V17" s="169">
        <v>0.1</v>
      </c>
    </row>
    <row r="18" spans="1:22" ht="20.25" thickTop="1" thickBot="1" x14ac:dyDescent="0.35">
      <c r="A18" s="162">
        <v>13</v>
      </c>
      <c r="B18" s="164">
        <f t="shared" ca="1" si="3"/>
        <v>29</v>
      </c>
      <c r="C18" s="164">
        <f t="shared" ca="1" si="4"/>
        <v>40</v>
      </c>
      <c r="D18" s="164">
        <f t="shared" ca="1" si="5"/>
        <v>124</v>
      </c>
      <c r="E18" s="164">
        <f t="shared" ca="1" si="6"/>
        <v>122</v>
      </c>
      <c r="F18" s="164">
        <f t="shared" ca="1" si="7"/>
        <v>58</v>
      </c>
      <c r="G18" s="164">
        <f t="shared" ca="1" si="8"/>
        <v>84</v>
      </c>
      <c r="H18" s="169">
        <v>0.05</v>
      </c>
      <c r="J18" s="163">
        <v>13</v>
      </c>
      <c r="K18" s="164">
        <f t="shared" ca="1" si="9"/>
        <v>35</v>
      </c>
      <c r="L18" s="164">
        <f t="shared" ca="1" si="10"/>
        <v>179.67812713054741</v>
      </c>
      <c r="M18" s="164">
        <f t="shared" ca="1" si="11"/>
        <v>180.50038704103505</v>
      </c>
      <c r="N18" s="164">
        <f t="shared" ca="1" si="12"/>
        <v>4.3912865733360178</v>
      </c>
      <c r="O18" s="169">
        <v>0.05</v>
      </c>
      <c r="Q18" s="163">
        <v>26</v>
      </c>
      <c r="R18" s="164">
        <f t="shared" ca="1" si="13"/>
        <v>34</v>
      </c>
      <c r="S18" s="164">
        <f t="shared" ca="1" si="0"/>
        <v>180.58507591327449</v>
      </c>
      <c r="T18" s="164">
        <f t="shared" ca="1" si="1"/>
        <v>179.42580030045013</v>
      </c>
      <c r="U18" s="164">
        <f t="shared" ca="1" si="2"/>
        <v>3.9412957058102975</v>
      </c>
      <c r="V18" s="169">
        <v>0.1</v>
      </c>
    </row>
    <row r="19" spans="1:22" ht="20.25" thickTop="1" thickBot="1" x14ac:dyDescent="0.35">
      <c r="A19" s="163">
        <v>14</v>
      </c>
      <c r="B19" s="164">
        <f t="shared" ca="1" si="3"/>
        <v>29</v>
      </c>
      <c r="C19" s="164">
        <f t="shared" ca="1" si="4"/>
        <v>35</v>
      </c>
      <c r="D19" s="164">
        <f t="shared" ca="1" si="5"/>
        <v>131</v>
      </c>
      <c r="E19" s="164">
        <f t="shared" ca="1" si="6"/>
        <v>142</v>
      </c>
      <c r="F19" s="164">
        <f t="shared" ca="1" si="7"/>
        <v>68</v>
      </c>
      <c r="G19" s="164">
        <f t="shared" ca="1" si="8"/>
        <v>80</v>
      </c>
      <c r="H19" s="169">
        <v>0.05</v>
      </c>
      <c r="J19" s="163">
        <v>14</v>
      </c>
      <c r="K19" s="164">
        <f ca="1">RANDBETWEEN(40,60)</f>
        <v>44</v>
      </c>
      <c r="L19" s="164">
        <f t="shared" ca="1" si="10"/>
        <v>181.46013490491924</v>
      </c>
      <c r="M19" s="164">
        <f t="shared" ca="1" si="11"/>
        <v>179.73789919887633</v>
      </c>
      <c r="N19" s="164">
        <f t="shared" ca="1" si="12"/>
        <v>4.1395054390405672</v>
      </c>
      <c r="O19" s="169">
        <v>0.1</v>
      </c>
    </row>
    <row r="20" spans="1:22" ht="20.25" thickTop="1" thickBot="1" x14ac:dyDescent="0.35">
      <c r="A20" s="162">
        <v>15</v>
      </c>
      <c r="B20" s="164">
        <f t="shared" ca="1" si="3"/>
        <v>30</v>
      </c>
      <c r="C20" s="164">
        <f t="shared" ca="1" si="4"/>
        <v>40</v>
      </c>
      <c r="D20" s="164">
        <f t="shared" ca="1" si="5"/>
        <v>128</v>
      </c>
      <c r="E20" s="164">
        <f t="shared" ca="1" si="6"/>
        <v>133</v>
      </c>
      <c r="F20" s="164">
        <f t="shared" ca="1" si="7"/>
        <v>69</v>
      </c>
      <c r="G20" s="164">
        <f t="shared" ca="1" si="8"/>
        <v>83</v>
      </c>
      <c r="H20" s="169">
        <v>0.05</v>
      </c>
      <c r="J20" s="162">
        <v>15</v>
      </c>
      <c r="K20" s="164">
        <f t="shared" ca="1" si="9"/>
        <v>34</v>
      </c>
      <c r="L20" s="164">
        <f t="shared" ca="1" si="10"/>
        <v>180.21148028085997</v>
      </c>
      <c r="M20" s="164">
        <f t="shared" ca="1" si="11"/>
        <v>180.75145485558977</v>
      </c>
      <c r="N20" s="164">
        <f t="shared" ca="1" si="12"/>
        <v>4.0318719965833738</v>
      </c>
      <c r="O20" s="169">
        <v>0.1</v>
      </c>
    </row>
    <row r="21" spans="1:22" ht="20.25" thickTop="1" thickBot="1" x14ac:dyDescent="0.35">
      <c r="A21" s="163">
        <v>16</v>
      </c>
      <c r="B21" s="164">
        <f t="shared" ca="1" si="3"/>
        <v>32</v>
      </c>
      <c r="C21" s="164">
        <f t="shared" ca="1" si="4"/>
        <v>39</v>
      </c>
      <c r="D21" s="164">
        <f t="shared" ca="1" si="5"/>
        <v>123</v>
      </c>
      <c r="E21" s="164">
        <f t="shared" ca="1" si="6"/>
        <v>130</v>
      </c>
      <c r="F21" s="164">
        <f t="shared" ca="1" si="7"/>
        <v>63</v>
      </c>
      <c r="G21" s="164">
        <f t="shared" ca="1" si="8"/>
        <v>90</v>
      </c>
      <c r="H21" s="169">
        <v>0.05</v>
      </c>
      <c r="J21" s="163">
        <v>16</v>
      </c>
      <c r="K21" s="164">
        <f t="shared" ca="1" si="9"/>
        <v>28</v>
      </c>
      <c r="L21" s="164">
        <f t="shared" ca="1" si="10"/>
        <v>181.25371617984695</v>
      </c>
      <c r="M21" s="164">
        <f t="shared" ca="1" si="11"/>
        <v>179.94879163635156</v>
      </c>
      <c r="N21" s="164">
        <f t="shared" ca="1" si="12"/>
        <v>4.4745401180922943</v>
      </c>
      <c r="O21" s="169">
        <v>0.1</v>
      </c>
    </row>
    <row r="22" spans="1:22" ht="20.25" thickTop="1" thickBot="1" x14ac:dyDescent="0.35">
      <c r="A22" s="162">
        <v>17</v>
      </c>
      <c r="B22" s="164">
        <f t="shared" ca="1" si="3"/>
        <v>34</v>
      </c>
      <c r="C22" s="164">
        <f t="shared" ca="1" si="4"/>
        <v>39</v>
      </c>
      <c r="D22" s="164">
        <f t="shared" ca="1" si="5"/>
        <v>127</v>
      </c>
      <c r="E22" s="164">
        <f t="shared" ca="1" si="6"/>
        <v>141</v>
      </c>
      <c r="F22" s="164">
        <f t="shared" ca="1" si="7"/>
        <v>57</v>
      </c>
      <c r="G22" s="164">
        <f t="shared" ca="1" si="8"/>
        <v>83</v>
      </c>
      <c r="H22" s="169">
        <v>0.05</v>
      </c>
      <c r="J22" s="162">
        <v>17</v>
      </c>
      <c r="K22" s="164">
        <f t="shared" ca="1" si="9"/>
        <v>29</v>
      </c>
      <c r="L22" s="164">
        <f t="shared" ca="1" si="10"/>
        <v>179.28902767848319</v>
      </c>
      <c r="M22" s="164">
        <f t="shared" ca="1" si="11"/>
        <v>182.20913785488065</v>
      </c>
      <c r="N22" s="164">
        <f t="shared" ca="1" si="12"/>
        <v>3.9905195233215247</v>
      </c>
      <c r="O22" s="169">
        <v>0.1</v>
      </c>
    </row>
    <row r="23" spans="1:22" ht="20.25" thickTop="1" thickBot="1" x14ac:dyDescent="0.35">
      <c r="A23" s="163">
        <v>18</v>
      </c>
      <c r="B23" s="164">
        <f t="shared" ca="1" si="3"/>
        <v>30</v>
      </c>
      <c r="C23" s="164">
        <f t="shared" ca="1" si="4"/>
        <v>37</v>
      </c>
      <c r="D23" s="164">
        <f t="shared" ca="1" si="5"/>
        <v>115</v>
      </c>
      <c r="E23" s="164">
        <f t="shared" ca="1" si="6"/>
        <v>127</v>
      </c>
      <c r="F23" s="164">
        <f t="shared" ca="1" si="7"/>
        <v>61</v>
      </c>
      <c r="G23" s="164">
        <f t="shared" ca="1" si="8"/>
        <v>75</v>
      </c>
      <c r="H23" s="169">
        <v>0.05</v>
      </c>
      <c r="J23" s="163">
        <v>18</v>
      </c>
      <c r="K23" s="164">
        <f t="shared" ca="1" si="9"/>
        <v>29</v>
      </c>
      <c r="L23" s="164">
        <f t="shared" ca="1" si="10"/>
        <v>180.9481444392641</v>
      </c>
      <c r="M23" s="164">
        <f t="shared" ca="1" si="11"/>
        <v>180.31837336016721</v>
      </c>
      <c r="N23" s="164">
        <f t="shared" ca="1" si="12"/>
        <v>4.4310906820822984</v>
      </c>
      <c r="O23" s="169">
        <v>0.1</v>
      </c>
    </row>
    <row r="24" spans="1:22" ht="20.25" thickTop="1" thickBot="1" x14ac:dyDescent="0.35">
      <c r="A24" s="162">
        <v>19</v>
      </c>
      <c r="B24" s="164">
        <f t="shared" ca="1" si="3"/>
        <v>31</v>
      </c>
      <c r="C24" s="164">
        <f t="shared" ca="1" si="4"/>
        <v>42</v>
      </c>
      <c r="D24" s="164">
        <f t="shared" ca="1" si="5"/>
        <v>124</v>
      </c>
      <c r="E24" s="164">
        <f t="shared" ca="1" si="6"/>
        <v>120</v>
      </c>
      <c r="F24" s="164">
        <f t="shared" ca="1" si="7"/>
        <v>59</v>
      </c>
      <c r="G24" s="164">
        <f t="shared" ca="1" si="8"/>
        <v>70</v>
      </c>
      <c r="H24" s="169">
        <v>0.05</v>
      </c>
      <c r="J24" s="162">
        <v>19</v>
      </c>
      <c r="K24" s="164">
        <f t="shared" ca="1" si="9"/>
        <v>25</v>
      </c>
      <c r="L24" s="164">
        <f t="shared" ca="1" si="10"/>
        <v>181.11589841366163</v>
      </c>
      <c r="M24" s="164">
        <f t="shared" ca="1" si="11"/>
        <v>182.00382697150692</v>
      </c>
      <c r="N24" s="164">
        <f t="shared" ca="1" si="12"/>
        <v>4.1891519085876201</v>
      </c>
      <c r="O24" s="169">
        <v>0.1</v>
      </c>
    </row>
    <row r="25" spans="1:22" ht="20.25" thickTop="1" thickBot="1" x14ac:dyDescent="0.35">
      <c r="A25" s="163">
        <v>20</v>
      </c>
      <c r="B25" s="164">
        <f t="shared" ca="1" si="3"/>
        <v>33</v>
      </c>
      <c r="C25" s="164">
        <f t="shared" ca="1" si="4"/>
        <v>40</v>
      </c>
      <c r="D25" s="164">
        <f t="shared" ca="1" si="5"/>
        <v>138</v>
      </c>
      <c r="E25" s="164">
        <f t="shared" ca="1" si="6"/>
        <v>128</v>
      </c>
      <c r="F25" s="164">
        <f t="shared" ca="1" si="7"/>
        <v>53</v>
      </c>
      <c r="G25" s="164">
        <f t="shared" ca="1" si="8"/>
        <v>72</v>
      </c>
      <c r="H25" s="169">
        <v>0.05</v>
      </c>
      <c r="J25" s="163">
        <v>20</v>
      </c>
      <c r="K25" s="164">
        <f t="shared" ca="1" si="9"/>
        <v>27</v>
      </c>
      <c r="L25" s="164">
        <f t="shared" ca="1" si="10"/>
        <v>179.13186611626531</v>
      </c>
      <c r="M25" s="164">
        <f t="shared" ca="1" si="11"/>
        <v>182.19504549765929</v>
      </c>
      <c r="N25" s="164">
        <f t="shared" ca="1" si="12"/>
        <v>4.4388368822814899</v>
      </c>
      <c r="O25" s="169">
        <v>0.1</v>
      </c>
    </row>
    <row r="26" spans="1:22" ht="20.25" thickTop="1" thickBot="1" x14ac:dyDescent="0.35">
      <c r="A26" s="162">
        <v>21</v>
      </c>
      <c r="B26" s="164">
        <f t="shared" ca="1" si="3"/>
        <v>25</v>
      </c>
      <c r="C26" s="164">
        <f t="shared" ca="1" si="4"/>
        <v>40</v>
      </c>
      <c r="D26" s="164">
        <f t="shared" ca="1" si="5"/>
        <v>137</v>
      </c>
      <c r="E26" s="164">
        <f t="shared" ca="1" si="6"/>
        <v>129</v>
      </c>
      <c r="F26" s="164">
        <f t="shared" ca="1" si="7"/>
        <v>56</v>
      </c>
      <c r="G26" s="164">
        <f t="shared" ca="1" si="8"/>
        <v>74</v>
      </c>
      <c r="H26" s="169">
        <v>0.05</v>
      </c>
      <c r="J26" s="162">
        <v>21</v>
      </c>
      <c r="K26" s="164">
        <f t="shared" ca="1" si="9"/>
        <v>33</v>
      </c>
      <c r="L26" s="164">
        <f t="shared" ca="1" si="10"/>
        <v>180.03729193796343</v>
      </c>
      <c r="M26" s="164">
        <f t="shared" ca="1" si="11"/>
        <v>179.79942543576686</v>
      </c>
      <c r="N26" s="164">
        <f t="shared" ca="1" si="12"/>
        <v>3.9996071255570427</v>
      </c>
      <c r="O26" s="169">
        <v>0.1</v>
      </c>
    </row>
    <row r="27" spans="1:22" ht="20.25" thickTop="1" thickBot="1" x14ac:dyDescent="0.35">
      <c r="A27" s="163">
        <v>22</v>
      </c>
      <c r="B27" s="164">
        <f t="shared" ca="1" si="3"/>
        <v>25</v>
      </c>
      <c r="C27" s="164">
        <f t="shared" ca="1" si="4"/>
        <v>35</v>
      </c>
      <c r="D27" s="164">
        <f t="shared" ca="1" si="5"/>
        <v>116</v>
      </c>
      <c r="E27" s="164">
        <f t="shared" ca="1" si="6"/>
        <v>120</v>
      </c>
      <c r="F27" s="164">
        <f t="shared" ca="1" si="7"/>
        <v>56</v>
      </c>
      <c r="G27" s="164">
        <f t="shared" ca="1" si="8"/>
        <v>80</v>
      </c>
      <c r="H27" s="169">
        <v>0.05</v>
      </c>
      <c r="J27" s="163">
        <v>22</v>
      </c>
      <c r="K27" s="164">
        <f t="shared" ca="1" si="9"/>
        <v>26</v>
      </c>
      <c r="L27" s="164">
        <f t="shared" ca="1" si="10"/>
        <v>181.32011964048311</v>
      </c>
      <c r="M27" s="164">
        <f t="shared" ca="1" si="11"/>
        <v>181.19820686482734</v>
      </c>
      <c r="N27" s="164">
        <f t="shared" ca="1" si="12"/>
        <v>4.1267314823554075</v>
      </c>
      <c r="O27" s="169">
        <v>0.1</v>
      </c>
    </row>
    <row r="28" spans="1:22" ht="20.25" thickTop="1" thickBot="1" x14ac:dyDescent="0.35">
      <c r="A28" s="162">
        <v>23</v>
      </c>
      <c r="B28" s="164">
        <f t="shared" ca="1" si="3"/>
        <v>27</v>
      </c>
      <c r="C28" s="164">
        <f t="shared" ca="1" si="4"/>
        <v>42</v>
      </c>
      <c r="D28" s="164">
        <f t="shared" ca="1" si="5"/>
        <v>112</v>
      </c>
      <c r="E28" s="164">
        <f t="shared" ca="1" si="6"/>
        <v>135</v>
      </c>
      <c r="F28" s="164">
        <f t="shared" ca="1" si="7"/>
        <v>70</v>
      </c>
      <c r="G28" s="164">
        <f t="shared" ca="1" si="8"/>
        <v>76</v>
      </c>
      <c r="H28" s="169">
        <v>0.05</v>
      </c>
      <c r="J28" s="162">
        <v>23</v>
      </c>
      <c r="K28" s="164">
        <f t="shared" ca="1" si="9"/>
        <v>32</v>
      </c>
      <c r="L28" s="164">
        <f t="shared" ca="1" si="10"/>
        <v>179.05994806853056</v>
      </c>
      <c r="M28" s="164">
        <f t="shared" ca="1" si="11"/>
        <v>179.38966510775532</v>
      </c>
      <c r="N28" s="164">
        <f t="shared" ca="1" si="12"/>
        <v>4.0196230675709952</v>
      </c>
      <c r="O28" s="169">
        <v>0.1</v>
      </c>
    </row>
    <row r="29" spans="1:22" ht="20.25" thickTop="1" thickBot="1" x14ac:dyDescent="0.35">
      <c r="A29" s="163">
        <v>24</v>
      </c>
      <c r="B29" s="164">
        <f t="shared" ca="1" si="3"/>
        <v>32</v>
      </c>
      <c r="C29" s="164">
        <f t="shared" ca="1" si="4"/>
        <v>45</v>
      </c>
      <c r="D29" s="164">
        <f t="shared" ca="1" si="5"/>
        <v>127</v>
      </c>
      <c r="E29" s="164">
        <f t="shared" ca="1" si="6"/>
        <v>126</v>
      </c>
      <c r="F29" s="164">
        <f t="shared" ca="1" si="7"/>
        <v>54</v>
      </c>
      <c r="G29" s="164">
        <f t="shared" ca="1" si="8"/>
        <v>83</v>
      </c>
      <c r="H29" s="169">
        <v>0.05</v>
      </c>
      <c r="J29" s="163">
        <v>24</v>
      </c>
      <c r="K29" s="164">
        <f t="shared" ca="1" si="9"/>
        <v>32</v>
      </c>
      <c r="L29" s="164">
        <f t="shared" ca="1" si="10"/>
        <v>180.43963525027283</v>
      </c>
      <c r="M29" s="164">
        <f t="shared" ca="1" si="11"/>
        <v>182.06729089946575</v>
      </c>
      <c r="N29" s="164">
        <f t="shared" ca="1" si="12"/>
        <v>4.4129918993072756</v>
      </c>
      <c r="O29" s="169">
        <v>0.1</v>
      </c>
    </row>
    <row r="30" spans="1:22" ht="20.25" thickTop="1" thickBot="1" x14ac:dyDescent="0.35">
      <c r="A30" s="162">
        <v>25</v>
      </c>
      <c r="B30" s="164">
        <f t="shared" ca="1" si="3"/>
        <v>31</v>
      </c>
      <c r="C30" s="164">
        <f t="shared" ca="1" si="4"/>
        <v>38</v>
      </c>
      <c r="D30" s="164">
        <f t="shared" ca="1" si="5"/>
        <v>135</v>
      </c>
      <c r="E30" s="164">
        <f t="shared" ca="1" si="6"/>
        <v>133</v>
      </c>
      <c r="F30" s="164">
        <f t="shared" ca="1" si="7"/>
        <v>51</v>
      </c>
      <c r="G30" s="164">
        <f t="shared" ca="1" si="8"/>
        <v>81</v>
      </c>
      <c r="H30" s="169">
        <v>0.05</v>
      </c>
      <c r="J30" s="162">
        <v>25</v>
      </c>
      <c r="K30" s="164">
        <f t="shared" ca="1" si="9"/>
        <v>25</v>
      </c>
      <c r="L30" s="164">
        <f t="shared" ca="1" si="10"/>
        <v>180.69662160559716</v>
      </c>
      <c r="M30" s="164">
        <f t="shared" ca="1" si="11"/>
        <v>181.56438165096941</v>
      </c>
      <c r="N30" s="164">
        <f t="shared" ca="1" si="12"/>
        <v>4.0626198101392559</v>
      </c>
      <c r="O30" s="169">
        <v>0.1</v>
      </c>
    </row>
    <row r="31" spans="1:22" ht="20.25" thickTop="1" thickBot="1" x14ac:dyDescent="0.35">
      <c r="A31" s="163">
        <v>26</v>
      </c>
      <c r="B31" s="164">
        <f t="shared" ca="1" si="3"/>
        <v>27</v>
      </c>
      <c r="C31" s="164">
        <f t="shared" ca="1" si="4"/>
        <v>39</v>
      </c>
      <c r="D31" s="164">
        <f t="shared" ca="1" si="5"/>
        <v>116</v>
      </c>
      <c r="E31" s="164">
        <f t="shared" ca="1" si="6"/>
        <v>121</v>
      </c>
      <c r="F31" s="164">
        <f t="shared" ca="1" si="7"/>
        <v>65</v>
      </c>
      <c r="G31" s="164">
        <f t="shared" ca="1" si="8"/>
        <v>86</v>
      </c>
      <c r="H31" s="169">
        <v>0.05</v>
      </c>
      <c r="J31" s="163">
        <v>26</v>
      </c>
      <c r="K31" s="164">
        <f t="shared" ca="1" si="9"/>
        <v>25</v>
      </c>
      <c r="L31" s="164">
        <f t="shared" ca="1" si="10"/>
        <v>179.36398696222727</v>
      </c>
      <c r="M31" s="164">
        <f t="shared" ca="1" si="11"/>
        <v>180.68839051742282</v>
      </c>
      <c r="N31" s="164">
        <f t="shared" ca="1" si="12"/>
        <v>4.1466006004703324</v>
      </c>
      <c r="O31" s="169">
        <v>0.1</v>
      </c>
    </row>
    <row r="32" spans="1:22" ht="19.5" thickTop="1" x14ac:dyDescent="0.3">
      <c r="L32" s="194">
        <f ca="1">AVERAGE(L6:L31)</f>
        <v>180.3007790043894</v>
      </c>
      <c r="M32" s="194">
        <f ca="1">AVERAGE(M6:M31)</f>
        <v>180.63666223506641</v>
      </c>
      <c r="N32" s="194">
        <f ca="1">AVERAGE(N6:N31)</f>
        <v>4.2258846394207614</v>
      </c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6082" r:id="rId4">
          <objectPr defaultSize="0" autoPict="0" r:id="rId5">
            <anchor moveWithCells="1" sizeWithCells="1">
              <from>
                <xdr:col>3</xdr:col>
                <xdr:colOff>85725</xdr:colOff>
                <xdr:row>4</xdr:row>
                <xdr:rowOff>66675</xdr:rowOff>
              </from>
              <to>
                <xdr:col>3</xdr:col>
                <xdr:colOff>552450</xdr:colOff>
                <xdr:row>4</xdr:row>
                <xdr:rowOff>438150</xdr:rowOff>
              </to>
            </anchor>
          </objectPr>
        </oleObject>
      </mc:Choice>
      <mc:Fallback>
        <oleObject progId="Equation.3" shapeId="46082" r:id="rId4"/>
      </mc:Fallback>
    </mc:AlternateContent>
    <mc:AlternateContent xmlns:mc="http://schemas.openxmlformats.org/markup-compatibility/2006">
      <mc:Choice Requires="x14">
        <oleObject progId="Equation.3" shapeId="46083" r:id="rId6">
          <objectPr defaultSize="0" autoPict="0" r:id="rId7">
            <anchor moveWithCells="1" sizeWithCells="1">
              <from>
                <xdr:col>0</xdr:col>
                <xdr:colOff>133350</xdr:colOff>
                <xdr:row>0</xdr:row>
                <xdr:rowOff>114300</xdr:rowOff>
              </from>
              <to>
                <xdr:col>3</xdr:col>
                <xdr:colOff>200025</xdr:colOff>
                <xdr:row>3</xdr:row>
                <xdr:rowOff>85725</xdr:rowOff>
              </to>
            </anchor>
          </objectPr>
        </oleObject>
      </mc:Choice>
      <mc:Fallback>
        <oleObject progId="Equation.3" shapeId="46083" r:id="rId6"/>
      </mc:Fallback>
    </mc:AlternateContent>
    <mc:AlternateContent xmlns:mc="http://schemas.openxmlformats.org/markup-compatibility/2006">
      <mc:Choice Requires="x14">
        <oleObject progId="Equation.3" shapeId="46084" r:id="rId8">
          <objectPr defaultSize="0" autoPict="0" r:id="rId9">
            <anchor moveWithCells="1" sizeWithCells="1">
              <from>
                <xdr:col>5</xdr:col>
                <xdr:colOff>57150</xdr:colOff>
                <xdr:row>0</xdr:row>
                <xdr:rowOff>66675</xdr:rowOff>
              </from>
              <to>
                <xdr:col>6</xdr:col>
                <xdr:colOff>723900</xdr:colOff>
                <xdr:row>3</xdr:row>
                <xdr:rowOff>95250</xdr:rowOff>
              </to>
            </anchor>
          </objectPr>
        </oleObject>
      </mc:Choice>
      <mc:Fallback>
        <oleObject progId="Equation.3" shapeId="46084" r:id="rId8"/>
      </mc:Fallback>
    </mc:AlternateContent>
    <mc:AlternateContent xmlns:mc="http://schemas.openxmlformats.org/markup-compatibility/2006">
      <mc:Choice Requires="x14">
        <oleObject progId="Equation.3" shapeId="46086" r:id="rId10">
          <objectPr defaultSize="0" autoPict="0" r:id="rId11">
            <anchor moveWithCells="1" sizeWithCells="1">
              <from>
                <xdr:col>4</xdr:col>
                <xdr:colOff>66675</xdr:colOff>
                <xdr:row>4</xdr:row>
                <xdr:rowOff>95250</xdr:rowOff>
              </from>
              <to>
                <xdr:col>4</xdr:col>
                <xdr:colOff>542925</xdr:colOff>
                <xdr:row>4</xdr:row>
                <xdr:rowOff>466725</xdr:rowOff>
              </to>
            </anchor>
          </objectPr>
        </oleObject>
      </mc:Choice>
      <mc:Fallback>
        <oleObject progId="Equation.3" shapeId="46086" r:id="rId10"/>
      </mc:Fallback>
    </mc:AlternateContent>
  </oleObjec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32"/>
  <sheetViews>
    <sheetView topLeftCell="A4" workbookViewId="0">
      <selection activeCell="B5" sqref="B5"/>
    </sheetView>
  </sheetViews>
  <sheetFormatPr defaultRowHeight="15" x14ac:dyDescent="0.25"/>
  <cols>
    <col min="10" max="10" width="5.7109375" customWidth="1"/>
  </cols>
  <sheetData>
    <row r="3" spans="2:18" ht="24.75" x14ac:dyDescent="0.45">
      <c r="B3" s="190" t="s">
        <v>318</v>
      </c>
      <c r="E3" s="190" t="s">
        <v>320</v>
      </c>
      <c r="K3" s="190" t="s">
        <v>318</v>
      </c>
      <c r="N3" s="190" t="s">
        <v>320</v>
      </c>
    </row>
    <row r="4" spans="2:18" ht="15.75" thickBot="1" x14ac:dyDescent="0.3"/>
    <row r="5" spans="2:18" ht="51.75" customHeight="1" thickTop="1" thickBot="1" x14ac:dyDescent="0.3">
      <c r="B5" s="186" t="s">
        <v>204</v>
      </c>
      <c r="C5" s="166" t="s">
        <v>276</v>
      </c>
      <c r="D5" s="187" t="s">
        <v>277</v>
      </c>
      <c r="E5" s="187" t="s">
        <v>321</v>
      </c>
      <c r="F5" s="187" t="s">
        <v>322</v>
      </c>
      <c r="G5" s="187" t="s">
        <v>323</v>
      </c>
      <c r="H5" s="187" t="s">
        <v>324</v>
      </c>
      <c r="I5" s="172" t="s">
        <v>306</v>
      </c>
      <c r="K5" s="186" t="s">
        <v>204</v>
      </c>
      <c r="L5" s="166" t="s">
        <v>276</v>
      </c>
      <c r="M5" s="187" t="s">
        <v>277</v>
      </c>
      <c r="N5" s="187" t="s">
        <v>321</v>
      </c>
      <c r="O5" s="187" t="s">
        <v>322</v>
      </c>
      <c r="P5" s="187" t="s">
        <v>323</v>
      </c>
      <c r="Q5" s="187" t="s">
        <v>324</v>
      </c>
      <c r="R5" s="172" t="s">
        <v>306</v>
      </c>
    </row>
    <row r="6" spans="2:18" ht="20.25" thickTop="1" thickBot="1" x14ac:dyDescent="0.35">
      <c r="B6" s="163">
        <v>1</v>
      </c>
      <c r="C6" s="164">
        <f ca="1">RANDBETWEEN(8,12)</f>
        <v>11</v>
      </c>
      <c r="D6" s="164">
        <f ca="1">RANDBETWEEN(12,17)</f>
        <v>12</v>
      </c>
      <c r="E6" s="164">
        <f ca="1">RANDBETWEEN(250,262)</f>
        <v>255</v>
      </c>
      <c r="F6" s="164">
        <f ca="1">RANDBETWEEN(252,266)</f>
        <v>260</v>
      </c>
      <c r="G6" s="164">
        <f ca="1">RANDBETWEEN(4,6)</f>
        <v>6</v>
      </c>
      <c r="H6" s="164">
        <f ca="1">RANDBETWEEN(3,5)</f>
        <v>5</v>
      </c>
      <c r="I6" s="169">
        <v>0.05</v>
      </c>
      <c r="K6" s="163">
        <v>14</v>
      </c>
      <c r="L6" s="164">
        <f t="shared" ref="L6:L18" ca="1" si="0">RANDBETWEEN(8,12)</f>
        <v>11</v>
      </c>
      <c r="M6" s="164">
        <f t="shared" ref="M6:M18" ca="1" si="1">RANDBETWEEN(12,17)</f>
        <v>14</v>
      </c>
      <c r="N6" s="164">
        <f t="shared" ref="N6:N18" ca="1" si="2">RANDBETWEEN(250,262)</f>
        <v>253</v>
      </c>
      <c r="O6" s="164">
        <f t="shared" ref="O6:O18" ca="1" si="3">RANDBETWEEN(252,266)</f>
        <v>252</v>
      </c>
      <c r="P6" s="164">
        <f t="shared" ref="P6:P18" ca="1" si="4">RANDBETWEEN(4,6)</f>
        <v>5</v>
      </c>
      <c r="Q6" s="164">
        <f t="shared" ref="Q6:Q18" ca="1" si="5">RANDBETWEEN(3,5)</f>
        <v>5</v>
      </c>
      <c r="R6" s="169">
        <v>0.1</v>
      </c>
    </row>
    <row r="7" spans="2:18" ht="20.25" thickTop="1" thickBot="1" x14ac:dyDescent="0.35">
      <c r="B7" s="162">
        <v>2</v>
      </c>
      <c r="C7" s="164">
        <f t="shared" ref="C7:C31" ca="1" si="6">RANDBETWEEN(8,12)</f>
        <v>9</v>
      </c>
      <c r="D7" s="164">
        <f t="shared" ref="D7:D31" ca="1" si="7">RANDBETWEEN(12,17)</f>
        <v>17</v>
      </c>
      <c r="E7" s="164">
        <f t="shared" ref="E7:E31" ca="1" si="8">RANDBETWEEN(250,262)</f>
        <v>254</v>
      </c>
      <c r="F7" s="164">
        <f t="shared" ref="F7:F31" ca="1" si="9">RANDBETWEEN(252,266)</f>
        <v>265</v>
      </c>
      <c r="G7" s="164">
        <f t="shared" ref="G7:G31" ca="1" si="10">RANDBETWEEN(4,6)</f>
        <v>6</v>
      </c>
      <c r="H7" s="164">
        <f t="shared" ref="H7:H31" ca="1" si="11">RANDBETWEEN(3,5)</f>
        <v>4</v>
      </c>
      <c r="I7" s="169">
        <v>0.05</v>
      </c>
      <c r="K7" s="162">
        <v>15</v>
      </c>
      <c r="L7" s="164">
        <f t="shared" ca="1" si="0"/>
        <v>8</v>
      </c>
      <c r="M7" s="164">
        <f t="shared" ca="1" si="1"/>
        <v>12</v>
      </c>
      <c r="N7" s="164">
        <f t="shared" ca="1" si="2"/>
        <v>253</v>
      </c>
      <c r="O7" s="164">
        <f t="shared" ca="1" si="3"/>
        <v>255</v>
      </c>
      <c r="P7" s="164">
        <f t="shared" ca="1" si="4"/>
        <v>4</v>
      </c>
      <c r="Q7" s="164">
        <f t="shared" ca="1" si="5"/>
        <v>4</v>
      </c>
      <c r="R7" s="169">
        <v>0.1</v>
      </c>
    </row>
    <row r="8" spans="2:18" ht="20.25" thickTop="1" thickBot="1" x14ac:dyDescent="0.35">
      <c r="B8" s="163">
        <v>3</v>
      </c>
      <c r="C8" s="164">
        <f t="shared" ca="1" si="6"/>
        <v>10</v>
      </c>
      <c r="D8" s="164">
        <f t="shared" ca="1" si="7"/>
        <v>16</v>
      </c>
      <c r="E8" s="164">
        <f t="shared" ca="1" si="8"/>
        <v>257</v>
      </c>
      <c r="F8" s="164">
        <f t="shared" ca="1" si="9"/>
        <v>254</v>
      </c>
      <c r="G8" s="164">
        <f t="shared" ca="1" si="10"/>
        <v>6</v>
      </c>
      <c r="H8" s="164">
        <f t="shared" ca="1" si="11"/>
        <v>4</v>
      </c>
      <c r="I8" s="169">
        <v>0.05</v>
      </c>
      <c r="K8" s="163">
        <v>16</v>
      </c>
      <c r="L8" s="164">
        <f t="shared" ca="1" si="0"/>
        <v>10</v>
      </c>
      <c r="M8" s="164">
        <f t="shared" ca="1" si="1"/>
        <v>16</v>
      </c>
      <c r="N8" s="164">
        <f t="shared" ca="1" si="2"/>
        <v>260</v>
      </c>
      <c r="O8" s="164">
        <f t="shared" ca="1" si="3"/>
        <v>253</v>
      </c>
      <c r="P8" s="164">
        <f t="shared" ca="1" si="4"/>
        <v>4</v>
      </c>
      <c r="Q8" s="164">
        <f t="shared" ca="1" si="5"/>
        <v>5</v>
      </c>
      <c r="R8" s="169">
        <v>0.1</v>
      </c>
    </row>
    <row r="9" spans="2:18" ht="20.25" thickTop="1" thickBot="1" x14ac:dyDescent="0.35">
      <c r="B9" s="162">
        <v>4</v>
      </c>
      <c r="C9" s="164">
        <f t="shared" ca="1" si="6"/>
        <v>8</v>
      </c>
      <c r="D9" s="164">
        <f t="shared" ca="1" si="7"/>
        <v>14</v>
      </c>
      <c r="E9" s="164">
        <f t="shared" ca="1" si="8"/>
        <v>250</v>
      </c>
      <c r="F9" s="164">
        <f t="shared" ca="1" si="9"/>
        <v>259</v>
      </c>
      <c r="G9" s="164">
        <f t="shared" ca="1" si="10"/>
        <v>5</v>
      </c>
      <c r="H9" s="164">
        <f t="shared" ca="1" si="11"/>
        <v>5</v>
      </c>
      <c r="I9" s="169">
        <v>0.05</v>
      </c>
      <c r="K9" s="162">
        <v>17</v>
      </c>
      <c r="L9" s="164">
        <f t="shared" ca="1" si="0"/>
        <v>11</v>
      </c>
      <c r="M9" s="164">
        <f t="shared" ca="1" si="1"/>
        <v>15</v>
      </c>
      <c r="N9" s="164">
        <f t="shared" ca="1" si="2"/>
        <v>259</v>
      </c>
      <c r="O9" s="164">
        <f t="shared" ca="1" si="3"/>
        <v>257</v>
      </c>
      <c r="P9" s="164">
        <f t="shared" ca="1" si="4"/>
        <v>5</v>
      </c>
      <c r="Q9" s="164">
        <f t="shared" ca="1" si="5"/>
        <v>3</v>
      </c>
      <c r="R9" s="169">
        <v>0.1</v>
      </c>
    </row>
    <row r="10" spans="2:18" ht="20.25" thickTop="1" thickBot="1" x14ac:dyDescent="0.35">
      <c r="B10" s="163">
        <v>5</v>
      </c>
      <c r="C10" s="164">
        <f t="shared" ca="1" si="6"/>
        <v>12</v>
      </c>
      <c r="D10" s="164">
        <f t="shared" ca="1" si="7"/>
        <v>15</v>
      </c>
      <c r="E10" s="164">
        <f t="shared" ca="1" si="8"/>
        <v>252</v>
      </c>
      <c r="F10" s="164">
        <f t="shared" ca="1" si="9"/>
        <v>252</v>
      </c>
      <c r="G10" s="164">
        <f t="shared" ca="1" si="10"/>
        <v>5</v>
      </c>
      <c r="H10" s="164">
        <f t="shared" ca="1" si="11"/>
        <v>3</v>
      </c>
      <c r="I10" s="169">
        <v>0.05</v>
      </c>
      <c r="K10" s="163">
        <v>18</v>
      </c>
      <c r="L10" s="164">
        <f t="shared" ca="1" si="0"/>
        <v>11</v>
      </c>
      <c r="M10" s="164">
        <f t="shared" ca="1" si="1"/>
        <v>14</v>
      </c>
      <c r="N10" s="164">
        <f t="shared" ca="1" si="2"/>
        <v>261</v>
      </c>
      <c r="O10" s="164">
        <f t="shared" ca="1" si="3"/>
        <v>254</v>
      </c>
      <c r="P10" s="164">
        <f t="shared" ca="1" si="4"/>
        <v>5</v>
      </c>
      <c r="Q10" s="164">
        <f t="shared" ca="1" si="5"/>
        <v>5</v>
      </c>
      <c r="R10" s="169">
        <v>0.1</v>
      </c>
    </row>
    <row r="11" spans="2:18" ht="20.25" thickTop="1" thickBot="1" x14ac:dyDescent="0.35">
      <c r="B11" s="162">
        <v>6</v>
      </c>
      <c r="C11" s="164">
        <f t="shared" ca="1" si="6"/>
        <v>8</v>
      </c>
      <c r="D11" s="164">
        <f t="shared" ca="1" si="7"/>
        <v>12</v>
      </c>
      <c r="E11" s="164">
        <f t="shared" ca="1" si="8"/>
        <v>254</v>
      </c>
      <c r="F11" s="164">
        <f t="shared" ca="1" si="9"/>
        <v>254</v>
      </c>
      <c r="G11" s="164">
        <f t="shared" ca="1" si="10"/>
        <v>5</v>
      </c>
      <c r="H11" s="164">
        <f t="shared" ca="1" si="11"/>
        <v>4</v>
      </c>
      <c r="I11" s="169">
        <v>0.05</v>
      </c>
      <c r="K11" s="162">
        <v>19</v>
      </c>
      <c r="L11" s="164">
        <f t="shared" ca="1" si="0"/>
        <v>8</v>
      </c>
      <c r="M11" s="164">
        <f t="shared" ca="1" si="1"/>
        <v>16</v>
      </c>
      <c r="N11" s="164">
        <f t="shared" ca="1" si="2"/>
        <v>253</v>
      </c>
      <c r="O11" s="164">
        <f t="shared" ca="1" si="3"/>
        <v>255</v>
      </c>
      <c r="P11" s="164">
        <f t="shared" ca="1" si="4"/>
        <v>6</v>
      </c>
      <c r="Q11" s="164">
        <f t="shared" ca="1" si="5"/>
        <v>4</v>
      </c>
      <c r="R11" s="169">
        <v>0.1</v>
      </c>
    </row>
    <row r="12" spans="2:18" ht="20.25" thickTop="1" thickBot="1" x14ac:dyDescent="0.35">
      <c r="B12" s="163">
        <v>7</v>
      </c>
      <c r="C12" s="164">
        <f t="shared" ca="1" si="6"/>
        <v>11</v>
      </c>
      <c r="D12" s="164">
        <f t="shared" ca="1" si="7"/>
        <v>15</v>
      </c>
      <c r="E12" s="164">
        <f t="shared" ca="1" si="8"/>
        <v>259</v>
      </c>
      <c r="F12" s="164">
        <f t="shared" ca="1" si="9"/>
        <v>265</v>
      </c>
      <c r="G12" s="164">
        <f t="shared" ca="1" si="10"/>
        <v>4</v>
      </c>
      <c r="H12" s="164">
        <f t="shared" ca="1" si="11"/>
        <v>4</v>
      </c>
      <c r="I12" s="169">
        <v>0.05</v>
      </c>
      <c r="K12" s="163">
        <v>20</v>
      </c>
      <c r="L12" s="164">
        <f t="shared" ca="1" si="0"/>
        <v>12</v>
      </c>
      <c r="M12" s="164">
        <f t="shared" ca="1" si="1"/>
        <v>15</v>
      </c>
      <c r="N12" s="164">
        <f t="shared" ca="1" si="2"/>
        <v>261</v>
      </c>
      <c r="O12" s="164">
        <f t="shared" ca="1" si="3"/>
        <v>263</v>
      </c>
      <c r="P12" s="164">
        <f t="shared" ca="1" si="4"/>
        <v>5</v>
      </c>
      <c r="Q12" s="164">
        <f t="shared" ca="1" si="5"/>
        <v>3</v>
      </c>
      <c r="R12" s="169">
        <v>0.1</v>
      </c>
    </row>
    <row r="13" spans="2:18" ht="20.25" thickTop="1" thickBot="1" x14ac:dyDescent="0.35">
      <c r="B13" s="162">
        <v>8</v>
      </c>
      <c r="C13" s="164">
        <f t="shared" ca="1" si="6"/>
        <v>10</v>
      </c>
      <c r="D13" s="164">
        <f t="shared" ca="1" si="7"/>
        <v>14</v>
      </c>
      <c r="E13" s="164">
        <f t="shared" ca="1" si="8"/>
        <v>259</v>
      </c>
      <c r="F13" s="164">
        <f t="shared" ca="1" si="9"/>
        <v>259</v>
      </c>
      <c r="G13" s="164">
        <f t="shared" ca="1" si="10"/>
        <v>6</v>
      </c>
      <c r="H13" s="164">
        <f t="shared" ca="1" si="11"/>
        <v>5</v>
      </c>
      <c r="I13" s="169">
        <v>0.05</v>
      </c>
      <c r="K13" s="162">
        <v>21</v>
      </c>
      <c r="L13" s="164">
        <f t="shared" ca="1" si="0"/>
        <v>12</v>
      </c>
      <c r="M13" s="164">
        <f t="shared" ca="1" si="1"/>
        <v>16</v>
      </c>
      <c r="N13" s="164">
        <f t="shared" ca="1" si="2"/>
        <v>255</v>
      </c>
      <c r="O13" s="164">
        <f t="shared" ca="1" si="3"/>
        <v>266</v>
      </c>
      <c r="P13" s="164">
        <f t="shared" ca="1" si="4"/>
        <v>4</v>
      </c>
      <c r="Q13" s="164">
        <f t="shared" ca="1" si="5"/>
        <v>4</v>
      </c>
      <c r="R13" s="169">
        <v>0.1</v>
      </c>
    </row>
    <row r="14" spans="2:18" ht="20.25" thickTop="1" thickBot="1" x14ac:dyDescent="0.35">
      <c r="B14" s="163">
        <v>9</v>
      </c>
      <c r="C14" s="164">
        <f t="shared" ca="1" si="6"/>
        <v>8</v>
      </c>
      <c r="D14" s="164">
        <f t="shared" ca="1" si="7"/>
        <v>13</v>
      </c>
      <c r="E14" s="164">
        <f t="shared" ca="1" si="8"/>
        <v>260</v>
      </c>
      <c r="F14" s="164">
        <f t="shared" ca="1" si="9"/>
        <v>257</v>
      </c>
      <c r="G14" s="164">
        <f t="shared" ca="1" si="10"/>
        <v>5</v>
      </c>
      <c r="H14" s="164">
        <f t="shared" ca="1" si="11"/>
        <v>4</v>
      </c>
      <c r="I14" s="169">
        <v>0.05</v>
      </c>
      <c r="K14" s="163">
        <v>22</v>
      </c>
      <c r="L14" s="164">
        <f t="shared" ca="1" si="0"/>
        <v>11</v>
      </c>
      <c r="M14" s="164">
        <f t="shared" ca="1" si="1"/>
        <v>12</v>
      </c>
      <c r="N14" s="164">
        <f t="shared" ca="1" si="2"/>
        <v>254</v>
      </c>
      <c r="O14" s="164">
        <f t="shared" ca="1" si="3"/>
        <v>263</v>
      </c>
      <c r="P14" s="164">
        <f t="shared" ca="1" si="4"/>
        <v>4</v>
      </c>
      <c r="Q14" s="164">
        <f t="shared" ca="1" si="5"/>
        <v>4</v>
      </c>
      <c r="R14" s="169">
        <v>0.1</v>
      </c>
    </row>
    <row r="15" spans="2:18" ht="20.25" thickTop="1" thickBot="1" x14ac:dyDescent="0.35">
      <c r="B15" s="162">
        <v>10</v>
      </c>
      <c r="C15" s="164">
        <f t="shared" ca="1" si="6"/>
        <v>9</v>
      </c>
      <c r="D15" s="164">
        <f t="shared" ca="1" si="7"/>
        <v>17</v>
      </c>
      <c r="E15" s="164">
        <f t="shared" ca="1" si="8"/>
        <v>256</v>
      </c>
      <c r="F15" s="164">
        <f t="shared" ca="1" si="9"/>
        <v>264</v>
      </c>
      <c r="G15" s="164">
        <f t="shared" ca="1" si="10"/>
        <v>5</v>
      </c>
      <c r="H15" s="164">
        <f t="shared" ca="1" si="11"/>
        <v>3</v>
      </c>
      <c r="I15" s="169">
        <v>0.05</v>
      </c>
      <c r="K15" s="162">
        <v>23</v>
      </c>
      <c r="L15" s="164">
        <f t="shared" ca="1" si="0"/>
        <v>8</v>
      </c>
      <c r="M15" s="164">
        <f t="shared" ca="1" si="1"/>
        <v>15</v>
      </c>
      <c r="N15" s="164">
        <f t="shared" ca="1" si="2"/>
        <v>258</v>
      </c>
      <c r="O15" s="164">
        <f t="shared" ca="1" si="3"/>
        <v>263</v>
      </c>
      <c r="P15" s="164">
        <f t="shared" ca="1" si="4"/>
        <v>6</v>
      </c>
      <c r="Q15" s="164">
        <f t="shared" ca="1" si="5"/>
        <v>4</v>
      </c>
      <c r="R15" s="169">
        <v>0.1</v>
      </c>
    </row>
    <row r="16" spans="2:18" ht="20.25" thickTop="1" thickBot="1" x14ac:dyDescent="0.35">
      <c r="B16" s="163">
        <v>11</v>
      </c>
      <c r="C16" s="164">
        <f t="shared" ca="1" si="6"/>
        <v>11</v>
      </c>
      <c r="D16" s="164">
        <f t="shared" ca="1" si="7"/>
        <v>14</v>
      </c>
      <c r="E16" s="164">
        <f t="shared" ca="1" si="8"/>
        <v>259</v>
      </c>
      <c r="F16" s="164">
        <f t="shared" ca="1" si="9"/>
        <v>266</v>
      </c>
      <c r="G16" s="164">
        <f t="shared" ca="1" si="10"/>
        <v>5</v>
      </c>
      <c r="H16" s="164">
        <f t="shared" ca="1" si="11"/>
        <v>3</v>
      </c>
      <c r="I16" s="169">
        <v>0.05</v>
      </c>
      <c r="K16" s="163">
        <v>24</v>
      </c>
      <c r="L16" s="164">
        <f t="shared" ca="1" si="0"/>
        <v>12</v>
      </c>
      <c r="M16" s="164">
        <f t="shared" ca="1" si="1"/>
        <v>12</v>
      </c>
      <c r="N16" s="164">
        <f t="shared" ca="1" si="2"/>
        <v>262</v>
      </c>
      <c r="O16" s="164">
        <f t="shared" ca="1" si="3"/>
        <v>253</v>
      </c>
      <c r="P16" s="164">
        <f t="shared" ca="1" si="4"/>
        <v>6</v>
      </c>
      <c r="Q16" s="164">
        <f t="shared" ca="1" si="5"/>
        <v>3</v>
      </c>
      <c r="R16" s="169">
        <v>0.1</v>
      </c>
    </row>
    <row r="17" spans="2:18" ht="20.25" thickTop="1" thickBot="1" x14ac:dyDescent="0.35">
      <c r="B17" s="162">
        <v>12</v>
      </c>
      <c r="C17" s="164">
        <f t="shared" ca="1" si="6"/>
        <v>9</v>
      </c>
      <c r="D17" s="164">
        <f t="shared" ca="1" si="7"/>
        <v>16</v>
      </c>
      <c r="E17" s="164">
        <f t="shared" ca="1" si="8"/>
        <v>253</v>
      </c>
      <c r="F17" s="164">
        <f t="shared" ca="1" si="9"/>
        <v>262</v>
      </c>
      <c r="G17" s="164">
        <f t="shared" ca="1" si="10"/>
        <v>6</v>
      </c>
      <c r="H17" s="164">
        <f t="shared" ca="1" si="11"/>
        <v>5</v>
      </c>
      <c r="I17" s="169">
        <v>0.05</v>
      </c>
      <c r="K17" s="162">
        <v>25</v>
      </c>
      <c r="L17" s="164">
        <f t="shared" ca="1" si="0"/>
        <v>10</v>
      </c>
      <c r="M17" s="164">
        <f t="shared" ca="1" si="1"/>
        <v>12</v>
      </c>
      <c r="N17" s="164">
        <f t="shared" ca="1" si="2"/>
        <v>253</v>
      </c>
      <c r="O17" s="164">
        <f t="shared" ca="1" si="3"/>
        <v>263</v>
      </c>
      <c r="P17" s="164">
        <f t="shared" ca="1" si="4"/>
        <v>5</v>
      </c>
      <c r="Q17" s="164">
        <f t="shared" ca="1" si="5"/>
        <v>4</v>
      </c>
      <c r="R17" s="169">
        <v>0.1</v>
      </c>
    </row>
    <row r="18" spans="2:18" ht="20.25" thickTop="1" thickBot="1" x14ac:dyDescent="0.35">
      <c r="B18" s="163">
        <v>13</v>
      </c>
      <c r="C18" s="164">
        <f t="shared" ca="1" si="6"/>
        <v>10</v>
      </c>
      <c r="D18" s="164">
        <f t="shared" ca="1" si="7"/>
        <v>12</v>
      </c>
      <c r="E18" s="164">
        <f t="shared" ca="1" si="8"/>
        <v>259</v>
      </c>
      <c r="F18" s="164">
        <f t="shared" ca="1" si="9"/>
        <v>259</v>
      </c>
      <c r="G18" s="164">
        <f t="shared" ca="1" si="10"/>
        <v>4</v>
      </c>
      <c r="H18" s="164">
        <f t="shared" ca="1" si="11"/>
        <v>5</v>
      </c>
      <c r="I18" s="169">
        <v>0.05</v>
      </c>
      <c r="K18" s="163">
        <v>26</v>
      </c>
      <c r="L18" s="164">
        <f t="shared" ca="1" si="0"/>
        <v>8</v>
      </c>
      <c r="M18" s="164">
        <f t="shared" ca="1" si="1"/>
        <v>16</v>
      </c>
      <c r="N18" s="164">
        <f t="shared" ca="1" si="2"/>
        <v>261</v>
      </c>
      <c r="O18" s="164">
        <f t="shared" ca="1" si="3"/>
        <v>254</v>
      </c>
      <c r="P18" s="164">
        <f t="shared" ca="1" si="4"/>
        <v>5</v>
      </c>
      <c r="Q18" s="164">
        <f t="shared" ca="1" si="5"/>
        <v>4</v>
      </c>
      <c r="R18" s="169">
        <v>0.1</v>
      </c>
    </row>
    <row r="19" spans="2:18" ht="20.25" thickTop="1" thickBot="1" x14ac:dyDescent="0.35">
      <c r="B19" s="163">
        <v>14</v>
      </c>
      <c r="C19" s="164">
        <f t="shared" ca="1" si="6"/>
        <v>10</v>
      </c>
      <c r="D19" s="164">
        <f t="shared" ca="1" si="7"/>
        <v>14</v>
      </c>
      <c r="E19" s="164">
        <f t="shared" ca="1" si="8"/>
        <v>256</v>
      </c>
      <c r="F19" s="164">
        <f t="shared" ca="1" si="9"/>
        <v>266</v>
      </c>
      <c r="G19" s="164">
        <f t="shared" ca="1" si="10"/>
        <v>6</v>
      </c>
      <c r="H19" s="164">
        <f t="shared" ca="1" si="11"/>
        <v>3</v>
      </c>
      <c r="I19" s="169">
        <v>0.1</v>
      </c>
    </row>
    <row r="20" spans="2:18" ht="20.25" thickTop="1" thickBot="1" x14ac:dyDescent="0.35">
      <c r="B20" s="162">
        <v>15</v>
      </c>
      <c r="C20" s="164">
        <f t="shared" ca="1" si="6"/>
        <v>9</v>
      </c>
      <c r="D20" s="164">
        <f t="shared" ca="1" si="7"/>
        <v>16</v>
      </c>
      <c r="E20" s="164">
        <f t="shared" ca="1" si="8"/>
        <v>253</v>
      </c>
      <c r="F20" s="164">
        <f t="shared" ca="1" si="9"/>
        <v>255</v>
      </c>
      <c r="G20" s="164">
        <f t="shared" ca="1" si="10"/>
        <v>6</v>
      </c>
      <c r="H20" s="164">
        <f t="shared" ca="1" si="11"/>
        <v>3</v>
      </c>
      <c r="I20" s="169">
        <v>0.1</v>
      </c>
    </row>
    <row r="21" spans="2:18" ht="20.25" thickTop="1" thickBot="1" x14ac:dyDescent="0.35">
      <c r="B21" s="163">
        <v>16</v>
      </c>
      <c r="C21" s="164">
        <f t="shared" ca="1" si="6"/>
        <v>9</v>
      </c>
      <c r="D21" s="164">
        <f t="shared" ca="1" si="7"/>
        <v>17</v>
      </c>
      <c r="E21" s="164">
        <f t="shared" ca="1" si="8"/>
        <v>254</v>
      </c>
      <c r="F21" s="164">
        <f t="shared" ca="1" si="9"/>
        <v>254</v>
      </c>
      <c r="G21" s="164">
        <f t="shared" ca="1" si="10"/>
        <v>4</v>
      </c>
      <c r="H21" s="164">
        <f t="shared" ca="1" si="11"/>
        <v>5</v>
      </c>
      <c r="I21" s="169">
        <v>0.1</v>
      </c>
    </row>
    <row r="22" spans="2:18" ht="20.25" thickTop="1" thickBot="1" x14ac:dyDescent="0.35">
      <c r="B22" s="162">
        <v>17</v>
      </c>
      <c r="C22" s="164">
        <f t="shared" ca="1" si="6"/>
        <v>8</v>
      </c>
      <c r="D22" s="164">
        <f t="shared" ca="1" si="7"/>
        <v>14</v>
      </c>
      <c r="E22" s="164">
        <f t="shared" ca="1" si="8"/>
        <v>251</v>
      </c>
      <c r="F22" s="164">
        <f t="shared" ca="1" si="9"/>
        <v>255</v>
      </c>
      <c r="G22" s="164">
        <f t="shared" ca="1" si="10"/>
        <v>4</v>
      </c>
      <c r="H22" s="164">
        <f t="shared" ca="1" si="11"/>
        <v>5</v>
      </c>
      <c r="I22" s="169">
        <v>0.1</v>
      </c>
    </row>
    <row r="23" spans="2:18" ht="20.25" thickTop="1" thickBot="1" x14ac:dyDescent="0.35">
      <c r="B23" s="163">
        <v>18</v>
      </c>
      <c r="C23" s="164">
        <f t="shared" ca="1" si="6"/>
        <v>10</v>
      </c>
      <c r="D23" s="164">
        <f t="shared" ca="1" si="7"/>
        <v>16</v>
      </c>
      <c r="E23" s="164">
        <f t="shared" ca="1" si="8"/>
        <v>255</v>
      </c>
      <c r="F23" s="164">
        <f t="shared" ca="1" si="9"/>
        <v>253</v>
      </c>
      <c r="G23" s="164">
        <f t="shared" ca="1" si="10"/>
        <v>4</v>
      </c>
      <c r="H23" s="164">
        <f t="shared" ca="1" si="11"/>
        <v>4</v>
      </c>
      <c r="I23" s="169">
        <v>0.1</v>
      </c>
    </row>
    <row r="24" spans="2:18" ht="20.25" thickTop="1" thickBot="1" x14ac:dyDescent="0.35">
      <c r="B24" s="162">
        <v>19</v>
      </c>
      <c r="C24" s="164">
        <f t="shared" ca="1" si="6"/>
        <v>10</v>
      </c>
      <c r="D24" s="164">
        <f t="shared" ca="1" si="7"/>
        <v>16</v>
      </c>
      <c r="E24" s="164">
        <f t="shared" ca="1" si="8"/>
        <v>260</v>
      </c>
      <c r="F24" s="164">
        <f t="shared" ca="1" si="9"/>
        <v>257</v>
      </c>
      <c r="G24" s="164">
        <f t="shared" ca="1" si="10"/>
        <v>6</v>
      </c>
      <c r="H24" s="164">
        <f t="shared" ca="1" si="11"/>
        <v>4</v>
      </c>
      <c r="I24" s="169">
        <v>0.1</v>
      </c>
    </row>
    <row r="25" spans="2:18" ht="20.25" thickTop="1" thickBot="1" x14ac:dyDescent="0.35">
      <c r="B25" s="163">
        <v>20</v>
      </c>
      <c r="C25" s="164">
        <f t="shared" ca="1" si="6"/>
        <v>8</v>
      </c>
      <c r="D25" s="164">
        <f t="shared" ca="1" si="7"/>
        <v>15</v>
      </c>
      <c r="E25" s="164">
        <f t="shared" ca="1" si="8"/>
        <v>261</v>
      </c>
      <c r="F25" s="164">
        <f t="shared" ca="1" si="9"/>
        <v>262</v>
      </c>
      <c r="G25" s="164">
        <f t="shared" ca="1" si="10"/>
        <v>4</v>
      </c>
      <c r="H25" s="164">
        <f t="shared" ca="1" si="11"/>
        <v>4</v>
      </c>
      <c r="I25" s="169">
        <v>0.1</v>
      </c>
    </row>
    <row r="26" spans="2:18" ht="20.25" thickTop="1" thickBot="1" x14ac:dyDescent="0.35">
      <c r="B26" s="162">
        <v>21</v>
      </c>
      <c r="C26" s="164">
        <f t="shared" ca="1" si="6"/>
        <v>10</v>
      </c>
      <c r="D26" s="164">
        <f t="shared" ca="1" si="7"/>
        <v>17</v>
      </c>
      <c r="E26" s="164">
        <f t="shared" ca="1" si="8"/>
        <v>252</v>
      </c>
      <c r="F26" s="164">
        <f t="shared" ca="1" si="9"/>
        <v>256</v>
      </c>
      <c r="G26" s="164">
        <f t="shared" ca="1" si="10"/>
        <v>4</v>
      </c>
      <c r="H26" s="164">
        <f t="shared" ca="1" si="11"/>
        <v>3</v>
      </c>
      <c r="I26" s="169">
        <v>0.1</v>
      </c>
    </row>
    <row r="27" spans="2:18" ht="20.25" thickTop="1" thickBot="1" x14ac:dyDescent="0.35">
      <c r="B27" s="163">
        <v>22</v>
      </c>
      <c r="C27" s="164">
        <f t="shared" ca="1" si="6"/>
        <v>8</v>
      </c>
      <c r="D27" s="164">
        <f t="shared" ca="1" si="7"/>
        <v>17</v>
      </c>
      <c r="E27" s="164">
        <f t="shared" ca="1" si="8"/>
        <v>252</v>
      </c>
      <c r="F27" s="164">
        <f t="shared" ca="1" si="9"/>
        <v>264</v>
      </c>
      <c r="G27" s="164">
        <f t="shared" ca="1" si="10"/>
        <v>6</v>
      </c>
      <c r="H27" s="164">
        <f t="shared" ca="1" si="11"/>
        <v>3</v>
      </c>
      <c r="I27" s="169">
        <v>0.1</v>
      </c>
    </row>
    <row r="28" spans="2:18" ht="20.25" thickTop="1" thickBot="1" x14ac:dyDescent="0.35">
      <c r="B28" s="162">
        <v>23</v>
      </c>
      <c r="C28" s="164">
        <f t="shared" ca="1" si="6"/>
        <v>10</v>
      </c>
      <c r="D28" s="164">
        <f t="shared" ca="1" si="7"/>
        <v>17</v>
      </c>
      <c r="E28" s="164">
        <f t="shared" ca="1" si="8"/>
        <v>260</v>
      </c>
      <c r="F28" s="164">
        <f t="shared" ca="1" si="9"/>
        <v>265</v>
      </c>
      <c r="G28" s="164">
        <f t="shared" ca="1" si="10"/>
        <v>5</v>
      </c>
      <c r="H28" s="164">
        <f t="shared" ca="1" si="11"/>
        <v>4</v>
      </c>
      <c r="I28" s="169">
        <v>0.1</v>
      </c>
    </row>
    <row r="29" spans="2:18" ht="20.25" thickTop="1" thickBot="1" x14ac:dyDescent="0.35">
      <c r="B29" s="163">
        <v>24</v>
      </c>
      <c r="C29" s="164">
        <f t="shared" ca="1" si="6"/>
        <v>10</v>
      </c>
      <c r="D29" s="164">
        <f t="shared" ca="1" si="7"/>
        <v>15</v>
      </c>
      <c r="E29" s="164">
        <f t="shared" ca="1" si="8"/>
        <v>261</v>
      </c>
      <c r="F29" s="164">
        <f t="shared" ca="1" si="9"/>
        <v>255</v>
      </c>
      <c r="G29" s="164">
        <f t="shared" ca="1" si="10"/>
        <v>5</v>
      </c>
      <c r="H29" s="164">
        <f t="shared" ca="1" si="11"/>
        <v>4</v>
      </c>
      <c r="I29" s="169">
        <v>0.1</v>
      </c>
    </row>
    <row r="30" spans="2:18" ht="20.25" thickTop="1" thickBot="1" x14ac:dyDescent="0.35">
      <c r="B30" s="162">
        <v>25</v>
      </c>
      <c r="C30" s="164">
        <f t="shared" ca="1" si="6"/>
        <v>10</v>
      </c>
      <c r="D30" s="164">
        <f t="shared" ca="1" si="7"/>
        <v>16</v>
      </c>
      <c r="E30" s="164">
        <f t="shared" ca="1" si="8"/>
        <v>254</v>
      </c>
      <c r="F30" s="164">
        <f t="shared" ca="1" si="9"/>
        <v>256</v>
      </c>
      <c r="G30" s="164">
        <f t="shared" ca="1" si="10"/>
        <v>5</v>
      </c>
      <c r="H30" s="164">
        <f t="shared" ca="1" si="11"/>
        <v>3</v>
      </c>
      <c r="I30" s="169">
        <v>0.1</v>
      </c>
    </row>
    <row r="31" spans="2:18" ht="20.25" thickTop="1" thickBot="1" x14ac:dyDescent="0.35">
      <c r="B31" s="163">
        <v>26</v>
      </c>
      <c r="C31" s="164">
        <f t="shared" ca="1" si="6"/>
        <v>9</v>
      </c>
      <c r="D31" s="164">
        <f t="shared" ca="1" si="7"/>
        <v>17</v>
      </c>
      <c r="E31" s="164">
        <f t="shared" ca="1" si="8"/>
        <v>253</v>
      </c>
      <c r="F31" s="164">
        <f t="shared" ca="1" si="9"/>
        <v>266</v>
      </c>
      <c r="G31" s="164">
        <f t="shared" ca="1" si="10"/>
        <v>4</v>
      </c>
      <c r="H31" s="164">
        <f t="shared" ca="1" si="11"/>
        <v>4</v>
      </c>
      <c r="I31" s="169">
        <v>0.1</v>
      </c>
    </row>
    <row r="32" spans="2:18" ht="19.5" thickTop="1" x14ac:dyDescent="0.3">
      <c r="E32" s="194">
        <f ca="1">AVERAGE(E6:E31)</f>
        <v>255.73076923076923</v>
      </c>
      <c r="F32" s="194">
        <f ca="1">AVERAGE(F6:F31)</f>
        <v>259.23076923076923</v>
      </c>
      <c r="G32" s="194">
        <f ca="1">AVERAGE(G6:G31)</f>
        <v>5.0384615384615383</v>
      </c>
      <c r="H32" s="194">
        <f ca="1">AVERAGE(H6:H31)</f>
        <v>3.9615384615384617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Z57"/>
  <sheetViews>
    <sheetView zoomScale="60" zoomScaleNormal="60" workbookViewId="0">
      <selection activeCell="Z30" sqref="B1:Z30"/>
    </sheetView>
  </sheetViews>
  <sheetFormatPr defaultRowHeight="20.25" x14ac:dyDescent="0.3"/>
  <cols>
    <col min="3" max="3" width="9.140625" style="137"/>
    <col min="4" max="4" width="7.140625" customWidth="1"/>
    <col min="5" max="5" width="7.85546875" customWidth="1"/>
    <col min="6" max="7" width="7.42578125" customWidth="1"/>
    <col min="8" max="8" width="8.42578125" customWidth="1"/>
    <col min="9" max="9" width="6.85546875" customWidth="1"/>
    <col min="10" max="10" width="5.7109375" customWidth="1"/>
    <col min="11" max="11" width="7.140625" customWidth="1"/>
    <col min="12" max="13" width="7.5703125" customWidth="1"/>
  </cols>
  <sheetData>
    <row r="2" spans="2:26" ht="28.5" x14ac:dyDescent="0.45">
      <c r="K2" s="196" t="s">
        <v>327</v>
      </c>
      <c r="V2" s="196" t="s">
        <v>327</v>
      </c>
    </row>
    <row r="3" spans="2:26" ht="27.75" thickBot="1" x14ac:dyDescent="0.4">
      <c r="B3" s="196"/>
      <c r="E3" s="196"/>
    </row>
    <row r="4" spans="2:26" ht="51.75" customHeight="1" thickTop="1" thickBot="1" x14ac:dyDescent="0.3">
      <c r="B4" s="186" t="s">
        <v>204</v>
      </c>
      <c r="C4" s="166"/>
      <c r="D4" s="187"/>
      <c r="E4" s="187"/>
      <c r="F4" s="187"/>
      <c r="G4" s="187"/>
      <c r="H4" s="187"/>
      <c r="I4" s="172"/>
      <c r="J4" s="172"/>
      <c r="K4" s="172"/>
      <c r="L4" s="172"/>
      <c r="M4" s="172"/>
      <c r="O4" s="186" t="s">
        <v>204</v>
      </c>
      <c r="P4" s="166"/>
      <c r="Q4" s="187"/>
      <c r="R4" s="187"/>
      <c r="S4" s="187"/>
      <c r="T4" s="187"/>
      <c r="U4" s="187"/>
      <c r="V4" s="172"/>
      <c r="W4" s="172"/>
      <c r="X4" s="172"/>
      <c r="Y4" s="172"/>
      <c r="Z4" s="172"/>
    </row>
    <row r="5" spans="2:26" ht="26.25" thickTop="1" thickBot="1" x14ac:dyDescent="0.5">
      <c r="B5" s="273">
        <v>1</v>
      </c>
      <c r="C5" s="195" t="s">
        <v>325</v>
      </c>
      <c r="D5" s="164">
        <f t="shared" ref="D5:D21" ca="1" si="0">RANDBETWEEN(13,25)</f>
        <v>17</v>
      </c>
      <c r="E5" s="164">
        <f t="shared" ref="E5:M20" ca="1" si="1">RANDBETWEEN(13,25)</f>
        <v>25</v>
      </c>
      <c r="F5" s="164">
        <f t="shared" ca="1" si="1"/>
        <v>18</v>
      </c>
      <c r="G5" s="164">
        <f t="shared" ca="1" si="1"/>
        <v>22</v>
      </c>
      <c r="H5" s="164">
        <f t="shared" ca="1" si="1"/>
        <v>15</v>
      </c>
      <c r="I5" s="164">
        <f t="shared" ca="1" si="1"/>
        <v>22</v>
      </c>
      <c r="J5" s="164">
        <f t="shared" ca="1" si="1"/>
        <v>25</v>
      </c>
      <c r="K5" s="164">
        <f t="shared" ca="1" si="1"/>
        <v>17</v>
      </c>
      <c r="L5" s="164">
        <f t="shared" ca="1" si="1"/>
        <v>21</v>
      </c>
      <c r="M5" s="164">
        <f t="shared" ca="1" si="1"/>
        <v>18</v>
      </c>
      <c r="O5" s="273">
        <v>14</v>
      </c>
      <c r="P5" s="195" t="s">
        <v>325</v>
      </c>
      <c r="Q5" s="164">
        <f t="shared" ref="Q5:Z5" ca="1" si="2">RANDBETWEEN(13,25)</f>
        <v>19</v>
      </c>
      <c r="R5" s="164">
        <f t="shared" ca="1" si="2"/>
        <v>24</v>
      </c>
      <c r="S5" s="164">
        <f t="shared" ca="1" si="2"/>
        <v>16</v>
      </c>
      <c r="T5" s="164">
        <f t="shared" ca="1" si="2"/>
        <v>20</v>
      </c>
      <c r="U5" s="164">
        <f t="shared" ca="1" si="2"/>
        <v>16</v>
      </c>
      <c r="V5" s="164">
        <f t="shared" ca="1" si="2"/>
        <v>24</v>
      </c>
      <c r="W5" s="164">
        <f t="shared" ca="1" si="2"/>
        <v>16</v>
      </c>
      <c r="X5" s="164">
        <f t="shared" ca="1" si="2"/>
        <v>25</v>
      </c>
      <c r="Y5" s="164">
        <f t="shared" ca="1" si="2"/>
        <v>16</v>
      </c>
      <c r="Z5" s="164">
        <f t="shared" ca="1" si="2"/>
        <v>16</v>
      </c>
    </row>
    <row r="6" spans="2:26" ht="26.25" thickTop="1" thickBot="1" x14ac:dyDescent="0.5">
      <c r="B6" s="274"/>
      <c r="C6" s="195" t="s">
        <v>326</v>
      </c>
      <c r="D6" s="164">
        <f t="shared" ca="1" si="0"/>
        <v>21</v>
      </c>
      <c r="E6" s="164">
        <f t="shared" ca="1" si="1"/>
        <v>18</v>
      </c>
      <c r="F6" s="164">
        <f t="shared" ca="1" si="1"/>
        <v>14</v>
      </c>
      <c r="G6" s="164">
        <f t="shared" ca="1" si="1"/>
        <v>24</v>
      </c>
      <c r="H6" s="164">
        <f t="shared" ca="1" si="1"/>
        <v>16</v>
      </c>
      <c r="I6" s="164">
        <f t="shared" ca="1" si="1"/>
        <v>20</v>
      </c>
      <c r="J6" s="164">
        <f t="shared" ca="1" si="1"/>
        <v>20</v>
      </c>
      <c r="K6" s="164">
        <f t="shared" ca="1" si="1"/>
        <v>13</v>
      </c>
      <c r="L6" s="164">
        <f t="shared" ca="1" si="1"/>
        <v>25</v>
      </c>
      <c r="M6" s="164">
        <f t="shared" ca="1" si="1"/>
        <v>24</v>
      </c>
      <c r="O6" s="274"/>
      <c r="P6" s="195" t="s">
        <v>326</v>
      </c>
      <c r="Q6" s="164">
        <f t="shared" ref="Q6:Z21" ca="1" si="3">RANDBETWEEN(13,25)</f>
        <v>21</v>
      </c>
      <c r="R6" s="164">
        <f t="shared" ref="R6:Z11" ca="1" si="4">RANDBETWEEN(13,25)</f>
        <v>16</v>
      </c>
      <c r="S6" s="164">
        <f t="shared" ca="1" si="4"/>
        <v>20</v>
      </c>
      <c r="T6" s="164">
        <f t="shared" ca="1" si="4"/>
        <v>15</v>
      </c>
      <c r="U6" s="164">
        <f t="shared" ca="1" si="4"/>
        <v>22</v>
      </c>
      <c r="V6" s="164">
        <f t="shared" ca="1" si="4"/>
        <v>22</v>
      </c>
      <c r="W6" s="164">
        <f t="shared" ca="1" si="4"/>
        <v>17</v>
      </c>
      <c r="X6" s="164">
        <f t="shared" ca="1" si="4"/>
        <v>24</v>
      </c>
      <c r="Y6" s="164">
        <f t="shared" ca="1" si="4"/>
        <v>17</v>
      </c>
      <c r="Z6" s="164">
        <f t="shared" ca="1" si="4"/>
        <v>18</v>
      </c>
    </row>
    <row r="7" spans="2:26" ht="26.25" thickTop="1" thickBot="1" x14ac:dyDescent="0.5">
      <c r="B7" s="273">
        <v>2</v>
      </c>
      <c r="C7" s="195" t="s">
        <v>325</v>
      </c>
      <c r="D7" s="164">
        <f t="shared" ca="1" si="0"/>
        <v>14</v>
      </c>
      <c r="E7" s="164">
        <f t="shared" ca="1" si="1"/>
        <v>23</v>
      </c>
      <c r="F7" s="164">
        <f t="shared" ca="1" si="1"/>
        <v>21</v>
      </c>
      <c r="G7" s="164">
        <f t="shared" ca="1" si="1"/>
        <v>22</v>
      </c>
      <c r="H7" s="164">
        <f t="shared" ca="1" si="1"/>
        <v>21</v>
      </c>
      <c r="I7" s="164">
        <f t="shared" ca="1" si="1"/>
        <v>15</v>
      </c>
      <c r="J7" s="164">
        <f t="shared" ca="1" si="1"/>
        <v>17</v>
      </c>
      <c r="K7" s="164">
        <f t="shared" ca="1" si="1"/>
        <v>25</v>
      </c>
      <c r="L7" s="164">
        <f t="shared" ca="1" si="1"/>
        <v>21</v>
      </c>
      <c r="M7" s="164">
        <f t="shared" ca="1" si="1"/>
        <v>14</v>
      </c>
      <c r="O7" s="273">
        <v>15</v>
      </c>
      <c r="P7" s="195" t="s">
        <v>325</v>
      </c>
      <c r="Q7" s="164">
        <f t="shared" ca="1" si="3"/>
        <v>16</v>
      </c>
      <c r="R7" s="164">
        <f t="shared" ca="1" si="4"/>
        <v>17</v>
      </c>
      <c r="S7" s="164">
        <f t="shared" ca="1" si="4"/>
        <v>19</v>
      </c>
      <c r="T7" s="164">
        <f t="shared" ca="1" si="4"/>
        <v>20</v>
      </c>
      <c r="U7" s="164">
        <f t="shared" ca="1" si="4"/>
        <v>20</v>
      </c>
      <c r="V7" s="164">
        <f t="shared" ca="1" si="4"/>
        <v>15</v>
      </c>
      <c r="W7" s="164">
        <f t="shared" ca="1" si="4"/>
        <v>25</v>
      </c>
      <c r="X7" s="164">
        <f t="shared" ca="1" si="4"/>
        <v>13</v>
      </c>
      <c r="Y7" s="164">
        <f t="shared" ca="1" si="4"/>
        <v>14</v>
      </c>
      <c r="Z7" s="164">
        <f t="shared" ca="1" si="4"/>
        <v>16</v>
      </c>
    </row>
    <row r="8" spans="2:26" ht="26.25" thickTop="1" thickBot="1" x14ac:dyDescent="0.5">
      <c r="B8" s="274"/>
      <c r="C8" s="195" t="s">
        <v>326</v>
      </c>
      <c r="D8" s="164">
        <f t="shared" ca="1" si="0"/>
        <v>16</v>
      </c>
      <c r="E8" s="164">
        <f t="shared" ca="1" si="1"/>
        <v>19</v>
      </c>
      <c r="F8" s="164">
        <f t="shared" ca="1" si="1"/>
        <v>15</v>
      </c>
      <c r="G8" s="164">
        <f t="shared" ca="1" si="1"/>
        <v>15</v>
      </c>
      <c r="H8" s="164">
        <f t="shared" ca="1" si="1"/>
        <v>13</v>
      </c>
      <c r="I8" s="164">
        <f t="shared" ca="1" si="1"/>
        <v>18</v>
      </c>
      <c r="J8" s="164">
        <f t="shared" ca="1" si="1"/>
        <v>21</v>
      </c>
      <c r="K8" s="164">
        <f t="shared" ca="1" si="1"/>
        <v>14</v>
      </c>
      <c r="L8" s="164">
        <f t="shared" ca="1" si="1"/>
        <v>14</v>
      </c>
      <c r="M8" s="164">
        <f t="shared" ca="1" si="1"/>
        <v>18</v>
      </c>
      <c r="O8" s="274"/>
      <c r="P8" s="195" t="s">
        <v>326</v>
      </c>
      <c r="Q8" s="164">
        <f t="shared" ca="1" si="3"/>
        <v>24</v>
      </c>
      <c r="R8" s="164">
        <f t="shared" ca="1" si="4"/>
        <v>23</v>
      </c>
      <c r="S8" s="164">
        <f t="shared" ca="1" si="4"/>
        <v>22</v>
      </c>
      <c r="T8" s="164">
        <f t="shared" ca="1" si="4"/>
        <v>15</v>
      </c>
      <c r="U8" s="164">
        <f t="shared" ca="1" si="4"/>
        <v>25</v>
      </c>
      <c r="V8" s="164">
        <f t="shared" ca="1" si="4"/>
        <v>14</v>
      </c>
      <c r="W8" s="164">
        <f t="shared" ca="1" si="4"/>
        <v>22</v>
      </c>
      <c r="X8" s="164">
        <f t="shared" ca="1" si="4"/>
        <v>23</v>
      </c>
      <c r="Y8" s="164">
        <f t="shared" ca="1" si="4"/>
        <v>24</v>
      </c>
      <c r="Z8" s="164">
        <f t="shared" ca="1" si="4"/>
        <v>17</v>
      </c>
    </row>
    <row r="9" spans="2:26" ht="26.25" thickTop="1" thickBot="1" x14ac:dyDescent="0.5">
      <c r="B9" s="273">
        <v>3</v>
      </c>
      <c r="C9" s="195" t="s">
        <v>325</v>
      </c>
      <c r="D9" s="164">
        <f t="shared" ca="1" si="0"/>
        <v>24</v>
      </c>
      <c r="E9" s="164">
        <f t="shared" ca="1" si="1"/>
        <v>23</v>
      </c>
      <c r="F9" s="164">
        <f t="shared" ca="1" si="1"/>
        <v>13</v>
      </c>
      <c r="G9" s="164">
        <f t="shared" ca="1" si="1"/>
        <v>20</v>
      </c>
      <c r="H9" s="164">
        <f t="shared" ca="1" si="1"/>
        <v>23</v>
      </c>
      <c r="I9" s="164">
        <f t="shared" ca="1" si="1"/>
        <v>20</v>
      </c>
      <c r="J9" s="164">
        <f t="shared" ca="1" si="1"/>
        <v>21</v>
      </c>
      <c r="K9" s="164">
        <f t="shared" ca="1" si="1"/>
        <v>16</v>
      </c>
      <c r="L9" s="164">
        <f t="shared" ca="1" si="1"/>
        <v>14</v>
      </c>
      <c r="M9" s="164">
        <f t="shared" ca="1" si="1"/>
        <v>17</v>
      </c>
      <c r="O9" s="273">
        <v>16</v>
      </c>
      <c r="P9" s="195" t="s">
        <v>325</v>
      </c>
      <c r="Q9" s="164">
        <f t="shared" ca="1" si="3"/>
        <v>18</v>
      </c>
      <c r="R9" s="164">
        <f t="shared" ca="1" si="4"/>
        <v>24</v>
      </c>
      <c r="S9" s="164">
        <f t="shared" ca="1" si="4"/>
        <v>15</v>
      </c>
      <c r="T9" s="164">
        <f t="shared" ca="1" si="4"/>
        <v>15</v>
      </c>
      <c r="U9" s="164">
        <f t="shared" ca="1" si="4"/>
        <v>21</v>
      </c>
      <c r="V9" s="164">
        <f t="shared" ca="1" si="4"/>
        <v>20</v>
      </c>
      <c r="W9" s="164">
        <f t="shared" ca="1" si="4"/>
        <v>16</v>
      </c>
      <c r="X9" s="164">
        <f t="shared" ca="1" si="4"/>
        <v>21</v>
      </c>
      <c r="Y9" s="164">
        <f t="shared" ca="1" si="4"/>
        <v>25</v>
      </c>
      <c r="Z9" s="164">
        <f t="shared" ca="1" si="4"/>
        <v>22</v>
      </c>
    </row>
    <row r="10" spans="2:26" ht="26.25" thickTop="1" thickBot="1" x14ac:dyDescent="0.5">
      <c r="B10" s="274"/>
      <c r="C10" s="195" t="s">
        <v>326</v>
      </c>
      <c r="D10" s="164">
        <f t="shared" ca="1" si="0"/>
        <v>13</v>
      </c>
      <c r="E10" s="164">
        <f t="shared" ca="1" si="1"/>
        <v>21</v>
      </c>
      <c r="F10" s="164">
        <f t="shared" ca="1" si="1"/>
        <v>16</v>
      </c>
      <c r="G10" s="164">
        <f t="shared" ca="1" si="1"/>
        <v>22</v>
      </c>
      <c r="H10" s="164">
        <f t="shared" ca="1" si="1"/>
        <v>15</v>
      </c>
      <c r="I10" s="164">
        <f t="shared" ca="1" si="1"/>
        <v>20</v>
      </c>
      <c r="J10" s="164">
        <f t="shared" ca="1" si="1"/>
        <v>24</v>
      </c>
      <c r="K10" s="164">
        <f t="shared" ca="1" si="1"/>
        <v>15</v>
      </c>
      <c r="L10" s="164">
        <f t="shared" ca="1" si="1"/>
        <v>17</v>
      </c>
      <c r="M10" s="164">
        <f t="shared" ca="1" si="1"/>
        <v>22</v>
      </c>
      <c r="O10" s="274"/>
      <c r="P10" s="195" t="s">
        <v>326</v>
      </c>
      <c r="Q10" s="164">
        <f t="shared" ca="1" si="3"/>
        <v>25</v>
      </c>
      <c r="R10" s="164">
        <f t="shared" ca="1" si="4"/>
        <v>18</v>
      </c>
      <c r="S10" s="164">
        <f t="shared" ca="1" si="4"/>
        <v>25</v>
      </c>
      <c r="T10" s="164">
        <f t="shared" ca="1" si="4"/>
        <v>16</v>
      </c>
      <c r="U10" s="164">
        <f t="shared" ca="1" si="4"/>
        <v>20</v>
      </c>
      <c r="V10" s="164">
        <f t="shared" ca="1" si="4"/>
        <v>14</v>
      </c>
      <c r="W10" s="164">
        <f t="shared" ca="1" si="4"/>
        <v>14</v>
      </c>
      <c r="X10" s="164">
        <f t="shared" ca="1" si="4"/>
        <v>24</v>
      </c>
      <c r="Y10" s="164">
        <f t="shared" ca="1" si="4"/>
        <v>18</v>
      </c>
      <c r="Z10" s="164">
        <f t="shared" ca="1" si="4"/>
        <v>13</v>
      </c>
    </row>
    <row r="11" spans="2:26" ht="26.25" thickTop="1" thickBot="1" x14ac:dyDescent="0.5">
      <c r="B11" s="273">
        <v>4</v>
      </c>
      <c r="C11" s="195" t="s">
        <v>325</v>
      </c>
      <c r="D11" s="164">
        <f t="shared" ca="1" si="0"/>
        <v>13</v>
      </c>
      <c r="E11" s="164">
        <f t="shared" ca="1" si="1"/>
        <v>13</v>
      </c>
      <c r="F11" s="164">
        <f t="shared" ca="1" si="1"/>
        <v>15</v>
      </c>
      <c r="G11" s="164">
        <f t="shared" ca="1" si="1"/>
        <v>17</v>
      </c>
      <c r="H11" s="164">
        <f t="shared" ca="1" si="1"/>
        <v>14</v>
      </c>
      <c r="I11" s="164">
        <f t="shared" ca="1" si="1"/>
        <v>21</v>
      </c>
      <c r="J11" s="164">
        <f t="shared" ca="1" si="1"/>
        <v>22</v>
      </c>
      <c r="K11" s="164">
        <f t="shared" ca="1" si="1"/>
        <v>22</v>
      </c>
      <c r="L11" s="164">
        <f t="shared" ca="1" si="1"/>
        <v>21</v>
      </c>
      <c r="M11" s="164">
        <f t="shared" ca="1" si="1"/>
        <v>15</v>
      </c>
      <c r="O11" s="273">
        <v>17</v>
      </c>
      <c r="P11" s="195" t="s">
        <v>325</v>
      </c>
      <c r="Q11" s="164">
        <f t="shared" ca="1" si="3"/>
        <v>22</v>
      </c>
      <c r="R11" s="164">
        <f t="shared" ca="1" si="4"/>
        <v>23</v>
      </c>
      <c r="S11" s="164">
        <f t="shared" ca="1" si="4"/>
        <v>17</v>
      </c>
      <c r="T11" s="164">
        <f t="shared" ca="1" si="4"/>
        <v>16</v>
      </c>
      <c r="U11" s="164">
        <f t="shared" ca="1" si="4"/>
        <v>23</v>
      </c>
      <c r="V11" s="164">
        <f t="shared" ca="1" si="4"/>
        <v>13</v>
      </c>
      <c r="W11" s="164">
        <f t="shared" ca="1" si="4"/>
        <v>24</v>
      </c>
      <c r="X11" s="164">
        <f t="shared" ca="1" si="4"/>
        <v>15</v>
      </c>
      <c r="Y11" s="164">
        <f t="shared" ca="1" si="4"/>
        <v>13</v>
      </c>
      <c r="Z11" s="164">
        <f t="shared" ca="1" si="4"/>
        <v>23</v>
      </c>
    </row>
    <row r="12" spans="2:26" ht="26.25" thickTop="1" thickBot="1" x14ac:dyDescent="0.5">
      <c r="B12" s="274"/>
      <c r="C12" s="195" t="s">
        <v>326</v>
      </c>
      <c r="D12" s="164">
        <f t="shared" ca="1" si="0"/>
        <v>18</v>
      </c>
      <c r="E12" s="164">
        <f t="shared" ca="1" si="1"/>
        <v>13</v>
      </c>
      <c r="F12" s="164">
        <f t="shared" ca="1" si="1"/>
        <v>15</v>
      </c>
      <c r="G12" s="164">
        <f t="shared" ca="1" si="1"/>
        <v>16</v>
      </c>
      <c r="H12" s="164">
        <f t="shared" ca="1" si="1"/>
        <v>13</v>
      </c>
      <c r="I12" s="164">
        <f t="shared" ca="1" si="1"/>
        <v>22</v>
      </c>
      <c r="J12" s="164">
        <f t="shared" ca="1" si="1"/>
        <v>13</v>
      </c>
      <c r="K12" s="164">
        <f t="shared" ca="1" si="1"/>
        <v>25</v>
      </c>
      <c r="L12" s="164">
        <f t="shared" ca="1" si="1"/>
        <v>23</v>
      </c>
      <c r="M12" s="164">
        <f t="shared" ca="1" si="1"/>
        <v>17</v>
      </c>
      <c r="O12" s="274"/>
      <c r="P12" s="195" t="s">
        <v>326</v>
      </c>
      <c r="Q12" s="164">
        <f t="shared" ca="1" si="3"/>
        <v>24</v>
      </c>
      <c r="R12" s="164">
        <f t="shared" ca="1" si="3"/>
        <v>25</v>
      </c>
      <c r="S12" s="164">
        <f t="shared" ca="1" si="3"/>
        <v>25</v>
      </c>
      <c r="T12" s="164">
        <f t="shared" ca="1" si="3"/>
        <v>19</v>
      </c>
      <c r="U12" s="164">
        <f t="shared" ca="1" si="3"/>
        <v>15</v>
      </c>
      <c r="V12" s="164">
        <f t="shared" ca="1" si="3"/>
        <v>23</v>
      </c>
      <c r="W12" s="164">
        <f t="shared" ca="1" si="3"/>
        <v>21</v>
      </c>
      <c r="X12" s="164">
        <f t="shared" ca="1" si="3"/>
        <v>19</v>
      </c>
      <c r="Y12" s="164">
        <f t="shared" ca="1" si="3"/>
        <v>19</v>
      </c>
      <c r="Z12" s="164">
        <f t="shared" ca="1" si="3"/>
        <v>20</v>
      </c>
    </row>
    <row r="13" spans="2:26" ht="26.25" thickTop="1" thickBot="1" x14ac:dyDescent="0.5">
      <c r="B13" s="273">
        <v>5</v>
      </c>
      <c r="C13" s="195" t="s">
        <v>325</v>
      </c>
      <c r="D13" s="164">
        <f t="shared" ca="1" si="0"/>
        <v>16</v>
      </c>
      <c r="E13" s="164">
        <f t="shared" ca="1" si="1"/>
        <v>18</v>
      </c>
      <c r="F13" s="164">
        <f t="shared" ca="1" si="1"/>
        <v>23</v>
      </c>
      <c r="G13" s="164">
        <f t="shared" ca="1" si="1"/>
        <v>22</v>
      </c>
      <c r="H13" s="164">
        <f t="shared" ca="1" si="1"/>
        <v>25</v>
      </c>
      <c r="I13" s="164">
        <f t="shared" ca="1" si="1"/>
        <v>18</v>
      </c>
      <c r="J13" s="164">
        <f t="shared" ca="1" si="1"/>
        <v>13</v>
      </c>
      <c r="K13" s="164">
        <f t="shared" ca="1" si="1"/>
        <v>18</v>
      </c>
      <c r="L13" s="164">
        <f t="shared" ca="1" si="1"/>
        <v>17</v>
      </c>
      <c r="M13" s="164">
        <f t="shared" ca="1" si="1"/>
        <v>17</v>
      </c>
      <c r="O13" s="273">
        <v>18</v>
      </c>
      <c r="P13" s="195" t="s">
        <v>325</v>
      </c>
      <c r="Q13" s="164">
        <f t="shared" ca="1" si="3"/>
        <v>16</v>
      </c>
      <c r="R13" s="164">
        <f t="shared" ca="1" si="3"/>
        <v>22</v>
      </c>
      <c r="S13" s="164">
        <f t="shared" ca="1" si="3"/>
        <v>25</v>
      </c>
      <c r="T13" s="164">
        <f t="shared" ca="1" si="3"/>
        <v>23</v>
      </c>
      <c r="U13" s="164">
        <f t="shared" ca="1" si="3"/>
        <v>14</v>
      </c>
      <c r="V13" s="164">
        <f t="shared" ca="1" si="3"/>
        <v>20</v>
      </c>
      <c r="W13" s="164">
        <f t="shared" ca="1" si="3"/>
        <v>13</v>
      </c>
      <c r="X13" s="164">
        <f t="shared" ca="1" si="3"/>
        <v>25</v>
      </c>
      <c r="Y13" s="164">
        <f t="shared" ca="1" si="3"/>
        <v>22</v>
      </c>
      <c r="Z13" s="164">
        <f t="shared" ca="1" si="3"/>
        <v>19</v>
      </c>
    </row>
    <row r="14" spans="2:26" ht="26.25" thickTop="1" thickBot="1" x14ac:dyDescent="0.5">
      <c r="B14" s="274"/>
      <c r="C14" s="195" t="s">
        <v>326</v>
      </c>
      <c r="D14" s="164">
        <f t="shared" ca="1" si="0"/>
        <v>18</v>
      </c>
      <c r="E14" s="164">
        <f t="shared" ca="1" si="1"/>
        <v>14</v>
      </c>
      <c r="F14" s="164">
        <f t="shared" ca="1" si="1"/>
        <v>24</v>
      </c>
      <c r="G14" s="164">
        <f t="shared" ca="1" si="1"/>
        <v>14</v>
      </c>
      <c r="H14" s="164">
        <f t="shared" ca="1" si="1"/>
        <v>13</v>
      </c>
      <c r="I14" s="164">
        <f t="shared" ca="1" si="1"/>
        <v>14</v>
      </c>
      <c r="J14" s="164">
        <f t="shared" ca="1" si="1"/>
        <v>13</v>
      </c>
      <c r="K14" s="164">
        <f t="shared" ca="1" si="1"/>
        <v>24</v>
      </c>
      <c r="L14" s="164">
        <f t="shared" ca="1" si="1"/>
        <v>23</v>
      </c>
      <c r="M14" s="164">
        <f t="shared" ca="1" si="1"/>
        <v>24</v>
      </c>
      <c r="O14" s="274"/>
      <c r="P14" s="195" t="s">
        <v>326</v>
      </c>
      <c r="Q14" s="164">
        <f t="shared" ca="1" si="3"/>
        <v>13</v>
      </c>
      <c r="R14" s="164">
        <f t="shared" ca="1" si="3"/>
        <v>22</v>
      </c>
      <c r="S14" s="164">
        <f t="shared" ca="1" si="3"/>
        <v>18</v>
      </c>
      <c r="T14" s="164">
        <f t="shared" ca="1" si="3"/>
        <v>16</v>
      </c>
      <c r="U14" s="164">
        <f t="shared" ca="1" si="3"/>
        <v>15</v>
      </c>
      <c r="V14" s="164">
        <f t="shared" ca="1" si="3"/>
        <v>23</v>
      </c>
      <c r="W14" s="164">
        <f t="shared" ca="1" si="3"/>
        <v>17</v>
      </c>
      <c r="X14" s="164">
        <f t="shared" ca="1" si="3"/>
        <v>15</v>
      </c>
      <c r="Y14" s="164">
        <f t="shared" ca="1" si="3"/>
        <v>13</v>
      </c>
      <c r="Z14" s="164">
        <f t="shared" ca="1" si="3"/>
        <v>17</v>
      </c>
    </row>
    <row r="15" spans="2:26" ht="26.25" thickTop="1" thickBot="1" x14ac:dyDescent="0.5">
      <c r="B15" s="273">
        <v>6</v>
      </c>
      <c r="C15" s="195" t="s">
        <v>325</v>
      </c>
      <c r="D15" s="164">
        <f t="shared" ca="1" si="0"/>
        <v>17</v>
      </c>
      <c r="E15" s="164">
        <f t="shared" ca="1" si="1"/>
        <v>21</v>
      </c>
      <c r="F15" s="164">
        <f t="shared" ca="1" si="1"/>
        <v>20</v>
      </c>
      <c r="G15" s="164">
        <f t="shared" ca="1" si="1"/>
        <v>14</v>
      </c>
      <c r="H15" s="164">
        <f t="shared" ca="1" si="1"/>
        <v>15</v>
      </c>
      <c r="I15" s="164">
        <f t="shared" ca="1" si="1"/>
        <v>17</v>
      </c>
      <c r="J15" s="164">
        <f t="shared" ca="1" si="1"/>
        <v>16</v>
      </c>
      <c r="K15" s="164">
        <f t="shared" ca="1" si="1"/>
        <v>19</v>
      </c>
      <c r="L15" s="164">
        <f t="shared" ca="1" si="1"/>
        <v>19</v>
      </c>
      <c r="M15" s="164">
        <f t="shared" ca="1" si="1"/>
        <v>14</v>
      </c>
      <c r="O15" s="273">
        <v>19</v>
      </c>
      <c r="P15" s="195" t="s">
        <v>325</v>
      </c>
      <c r="Q15" s="164">
        <f t="shared" ca="1" si="3"/>
        <v>20</v>
      </c>
      <c r="R15" s="164">
        <f t="shared" ca="1" si="3"/>
        <v>15</v>
      </c>
      <c r="S15" s="164">
        <f t="shared" ca="1" si="3"/>
        <v>25</v>
      </c>
      <c r="T15" s="164">
        <f t="shared" ca="1" si="3"/>
        <v>14</v>
      </c>
      <c r="U15" s="164">
        <f t="shared" ca="1" si="3"/>
        <v>25</v>
      </c>
      <c r="V15" s="164">
        <f t="shared" ca="1" si="3"/>
        <v>23</v>
      </c>
      <c r="W15" s="164">
        <f t="shared" ca="1" si="3"/>
        <v>13</v>
      </c>
      <c r="X15" s="164">
        <f t="shared" ca="1" si="3"/>
        <v>23</v>
      </c>
      <c r="Y15" s="164">
        <f t="shared" ca="1" si="3"/>
        <v>22</v>
      </c>
      <c r="Z15" s="164">
        <f t="shared" ca="1" si="3"/>
        <v>18</v>
      </c>
    </row>
    <row r="16" spans="2:26" ht="26.25" thickTop="1" thickBot="1" x14ac:dyDescent="0.5">
      <c r="B16" s="274"/>
      <c r="C16" s="195" t="s">
        <v>326</v>
      </c>
      <c r="D16" s="164">
        <f t="shared" ca="1" si="0"/>
        <v>25</v>
      </c>
      <c r="E16" s="164">
        <f t="shared" ca="1" si="1"/>
        <v>14</v>
      </c>
      <c r="F16" s="164">
        <f t="shared" ca="1" si="1"/>
        <v>15</v>
      </c>
      <c r="G16" s="164">
        <f t="shared" ca="1" si="1"/>
        <v>15</v>
      </c>
      <c r="H16" s="164">
        <f t="shared" ca="1" si="1"/>
        <v>17</v>
      </c>
      <c r="I16" s="164">
        <f t="shared" ca="1" si="1"/>
        <v>24</v>
      </c>
      <c r="J16" s="164">
        <f t="shared" ca="1" si="1"/>
        <v>13</v>
      </c>
      <c r="K16" s="164">
        <f t="shared" ca="1" si="1"/>
        <v>13</v>
      </c>
      <c r="L16" s="164">
        <f t="shared" ca="1" si="1"/>
        <v>13</v>
      </c>
      <c r="M16" s="164">
        <f t="shared" ca="1" si="1"/>
        <v>24</v>
      </c>
      <c r="O16" s="274"/>
      <c r="P16" s="195" t="s">
        <v>326</v>
      </c>
      <c r="Q16" s="164">
        <f t="shared" ca="1" si="3"/>
        <v>13</v>
      </c>
      <c r="R16" s="164">
        <f t="shared" ca="1" si="3"/>
        <v>18</v>
      </c>
      <c r="S16" s="164">
        <f t="shared" ca="1" si="3"/>
        <v>15</v>
      </c>
      <c r="T16" s="164">
        <f t="shared" ca="1" si="3"/>
        <v>24</v>
      </c>
      <c r="U16" s="164">
        <f t="shared" ca="1" si="3"/>
        <v>17</v>
      </c>
      <c r="V16" s="164">
        <f t="shared" ca="1" si="3"/>
        <v>25</v>
      </c>
      <c r="W16" s="164">
        <f t="shared" ca="1" si="3"/>
        <v>15</v>
      </c>
      <c r="X16" s="164">
        <f t="shared" ca="1" si="3"/>
        <v>14</v>
      </c>
      <c r="Y16" s="164">
        <f t="shared" ca="1" si="3"/>
        <v>24</v>
      </c>
      <c r="Z16" s="164">
        <f t="shared" ca="1" si="3"/>
        <v>24</v>
      </c>
    </row>
    <row r="17" spans="2:26" ht="26.25" thickTop="1" thickBot="1" x14ac:dyDescent="0.5">
      <c r="B17" s="273">
        <v>7</v>
      </c>
      <c r="C17" s="195" t="s">
        <v>325</v>
      </c>
      <c r="D17" s="164">
        <f t="shared" ca="1" si="0"/>
        <v>15</v>
      </c>
      <c r="E17" s="164">
        <f t="shared" ca="1" si="1"/>
        <v>20</v>
      </c>
      <c r="F17" s="164">
        <f t="shared" ca="1" si="1"/>
        <v>23</v>
      </c>
      <c r="G17" s="164">
        <f t="shared" ca="1" si="1"/>
        <v>13</v>
      </c>
      <c r="H17" s="164">
        <f t="shared" ca="1" si="1"/>
        <v>18</v>
      </c>
      <c r="I17" s="164">
        <f t="shared" ca="1" si="1"/>
        <v>19</v>
      </c>
      <c r="J17" s="164">
        <f t="shared" ca="1" si="1"/>
        <v>19</v>
      </c>
      <c r="K17" s="164">
        <f t="shared" ca="1" si="1"/>
        <v>17</v>
      </c>
      <c r="L17" s="164">
        <f t="shared" ca="1" si="1"/>
        <v>21</v>
      </c>
      <c r="M17" s="164">
        <f t="shared" ca="1" si="1"/>
        <v>25</v>
      </c>
      <c r="O17" s="273">
        <v>20</v>
      </c>
      <c r="P17" s="195" t="s">
        <v>325</v>
      </c>
      <c r="Q17" s="164">
        <f t="shared" ca="1" si="3"/>
        <v>17</v>
      </c>
      <c r="R17" s="164">
        <f t="shared" ca="1" si="3"/>
        <v>13</v>
      </c>
      <c r="S17" s="164">
        <f t="shared" ca="1" si="3"/>
        <v>15</v>
      </c>
      <c r="T17" s="164">
        <f t="shared" ca="1" si="3"/>
        <v>13</v>
      </c>
      <c r="U17" s="164">
        <f t="shared" ca="1" si="3"/>
        <v>20</v>
      </c>
      <c r="V17" s="164">
        <f t="shared" ca="1" si="3"/>
        <v>17</v>
      </c>
      <c r="W17" s="164">
        <f t="shared" ca="1" si="3"/>
        <v>23</v>
      </c>
      <c r="X17" s="164">
        <f t="shared" ca="1" si="3"/>
        <v>22</v>
      </c>
      <c r="Y17" s="164">
        <f t="shared" ca="1" si="3"/>
        <v>22</v>
      </c>
      <c r="Z17" s="164">
        <f t="shared" ca="1" si="3"/>
        <v>15</v>
      </c>
    </row>
    <row r="18" spans="2:26" ht="26.25" thickTop="1" thickBot="1" x14ac:dyDescent="0.5">
      <c r="B18" s="274"/>
      <c r="C18" s="195" t="s">
        <v>326</v>
      </c>
      <c r="D18" s="164">
        <f t="shared" ca="1" si="0"/>
        <v>14</v>
      </c>
      <c r="E18" s="164">
        <f t="shared" ca="1" si="1"/>
        <v>14</v>
      </c>
      <c r="F18" s="164">
        <f t="shared" ca="1" si="1"/>
        <v>24</v>
      </c>
      <c r="G18" s="164">
        <f t="shared" ca="1" si="1"/>
        <v>15</v>
      </c>
      <c r="H18" s="164">
        <f t="shared" ca="1" si="1"/>
        <v>24</v>
      </c>
      <c r="I18" s="164">
        <f t="shared" ca="1" si="1"/>
        <v>15</v>
      </c>
      <c r="J18" s="164">
        <f t="shared" ca="1" si="1"/>
        <v>21</v>
      </c>
      <c r="K18" s="164">
        <f t="shared" ca="1" si="1"/>
        <v>18</v>
      </c>
      <c r="L18" s="164">
        <f t="shared" ca="1" si="1"/>
        <v>22</v>
      </c>
      <c r="M18" s="164">
        <f t="shared" ca="1" si="1"/>
        <v>15</v>
      </c>
      <c r="O18" s="274"/>
      <c r="P18" s="195" t="s">
        <v>326</v>
      </c>
      <c r="Q18" s="164">
        <f t="shared" ca="1" si="3"/>
        <v>21</v>
      </c>
      <c r="R18" s="164">
        <f t="shared" ca="1" si="3"/>
        <v>15</v>
      </c>
      <c r="S18" s="164">
        <f t="shared" ca="1" si="3"/>
        <v>17</v>
      </c>
      <c r="T18" s="164">
        <f t="shared" ca="1" si="3"/>
        <v>14</v>
      </c>
      <c r="U18" s="164">
        <f t="shared" ca="1" si="3"/>
        <v>24</v>
      </c>
      <c r="V18" s="164">
        <f t="shared" ca="1" si="3"/>
        <v>24</v>
      </c>
      <c r="W18" s="164">
        <f t="shared" ca="1" si="3"/>
        <v>18</v>
      </c>
      <c r="X18" s="164">
        <f t="shared" ca="1" si="3"/>
        <v>25</v>
      </c>
      <c r="Y18" s="164">
        <f t="shared" ca="1" si="3"/>
        <v>13</v>
      </c>
      <c r="Z18" s="164">
        <f t="shared" ca="1" si="3"/>
        <v>16</v>
      </c>
    </row>
    <row r="19" spans="2:26" ht="26.25" thickTop="1" thickBot="1" x14ac:dyDescent="0.5">
      <c r="B19" s="273">
        <v>8</v>
      </c>
      <c r="C19" s="195" t="s">
        <v>325</v>
      </c>
      <c r="D19" s="164">
        <f t="shared" ca="1" si="0"/>
        <v>19</v>
      </c>
      <c r="E19" s="164">
        <f t="shared" ca="1" si="1"/>
        <v>13</v>
      </c>
      <c r="F19" s="164">
        <f t="shared" ca="1" si="1"/>
        <v>22</v>
      </c>
      <c r="G19" s="164">
        <f t="shared" ca="1" si="1"/>
        <v>17</v>
      </c>
      <c r="H19" s="164">
        <f t="shared" ca="1" si="1"/>
        <v>24</v>
      </c>
      <c r="I19" s="164">
        <f t="shared" ca="1" si="1"/>
        <v>24</v>
      </c>
      <c r="J19" s="164">
        <f t="shared" ca="1" si="1"/>
        <v>18</v>
      </c>
      <c r="K19" s="164">
        <f t="shared" ca="1" si="1"/>
        <v>25</v>
      </c>
      <c r="L19" s="164">
        <f t="shared" ca="1" si="1"/>
        <v>14</v>
      </c>
      <c r="M19" s="164">
        <f t="shared" ca="1" si="1"/>
        <v>23</v>
      </c>
      <c r="O19" s="273">
        <v>21</v>
      </c>
      <c r="P19" s="195" t="s">
        <v>325</v>
      </c>
      <c r="Q19" s="164">
        <f ca="1">RANDBETWEEN(13,25)</f>
        <v>14</v>
      </c>
      <c r="R19" s="164">
        <f t="shared" ca="1" si="3"/>
        <v>15</v>
      </c>
      <c r="S19" s="164">
        <f t="shared" ca="1" si="3"/>
        <v>24</v>
      </c>
      <c r="T19" s="164">
        <f t="shared" ca="1" si="3"/>
        <v>23</v>
      </c>
      <c r="U19" s="164">
        <f t="shared" ca="1" si="3"/>
        <v>24</v>
      </c>
      <c r="V19" s="164">
        <f t="shared" ca="1" si="3"/>
        <v>20</v>
      </c>
      <c r="W19" s="164">
        <f t="shared" ca="1" si="3"/>
        <v>20</v>
      </c>
      <c r="X19" s="164">
        <f t="shared" ca="1" si="3"/>
        <v>13</v>
      </c>
      <c r="Y19" s="164">
        <f t="shared" ca="1" si="3"/>
        <v>21</v>
      </c>
      <c r="Z19" s="164">
        <f t="shared" ca="1" si="3"/>
        <v>21</v>
      </c>
    </row>
    <row r="20" spans="2:26" ht="26.25" thickTop="1" thickBot="1" x14ac:dyDescent="0.5">
      <c r="B20" s="274"/>
      <c r="C20" s="195" t="s">
        <v>326</v>
      </c>
      <c r="D20" s="164">
        <f t="shared" ca="1" si="0"/>
        <v>20</v>
      </c>
      <c r="E20" s="164">
        <f t="shared" ca="1" si="1"/>
        <v>18</v>
      </c>
      <c r="F20" s="164">
        <f t="shared" ca="1" si="1"/>
        <v>20</v>
      </c>
      <c r="G20" s="164">
        <f t="shared" ca="1" si="1"/>
        <v>14</v>
      </c>
      <c r="H20" s="164">
        <f t="shared" ca="1" si="1"/>
        <v>22</v>
      </c>
      <c r="I20" s="164">
        <f t="shared" ca="1" si="1"/>
        <v>17</v>
      </c>
      <c r="J20" s="164">
        <f t="shared" ca="1" si="1"/>
        <v>24</v>
      </c>
      <c r="K20" s="164">
        <f t="shared" ca="1" si="1"/>
        <v>25</v>
      </c>
      <c r="L20" s="164">
        <f t="shared" ca="1" si="1"/>
        <v>16</v>
      </c>
      <c r="M20" s="164">
        <f t="shared" ca="1" si="1"/>
        <v>17</v>
      </c>
      <c r="O20" s="274"/>
      <c r="P20" s="195" t="s">
        <v>326</v>
      </c>
      <c r="Q20" s="164">
        <f t="shared" ref="Q20:Z30" ca="1" si="5">RANDBETWEEN(13,25)</f>
        <v>16</v>
      </c>
      <c r="R20" s="164">
        <f t="shared" ca="1" si="3"/>
        <v>23</v>
      </c>
      <c r="S20" s="164">
        <f t="shared" ca="1" si="3"/>
        <v>15</v>
      </c>
      <c r="T20" s="164">
        <f t="shared" ca="1" si="3"/>
        <v>18</v>
      </c>
      <c r="U20" s="164">
        <f t="shared" ca="1" si="3"/>
        <v>24</v>
      </c>
      <c r="V20" s="164">
        <f t="shared" ca="1" si="3"/>
        <v>17</v>
      </c>
      <c r="W20" s="164">
        <f t="shared" ca="1" si="3"/>
        <v>21</v>
      </c>
      <c r="X20" s="164">
        <f t="shared" ca="1" si="3"/>
        <v>21</v>
      </c>
      <c r="Y20" s="164">
        <f t="shared" ca="1" si="3"/>
        <v>20</v>
      </c>
      <c r="Z20" s="164">
        <f t="shared" ca="1" si="3"/>
        <v>17</v>
      </c>
    </row>
    <row r="21" spans="2:26" ht="26.25" thickTop="1" thickBot="1" x14ac:dyDescent="0.5">
      <c r="B21" s="273">
        <v>9</v>
      </c>
      <c r="C21" s="195" t="s">
        <v>325</v>
      </c>
      <c r="D21" s="164">
        <f t="shared" ca="1" si="0"/>
        <v>24</v>
      </c>
      <c r="E21" s="164">
        <f t="shared" ref="E21:M21" ca="1" si="6">RANDBETWEEN(13,25)</f>
        <v>22</v>
      </c>
      <c r="F21" s="164">
        <f t="shared" ca="1" si="6"/>
        <v>22</v>
      </c>
      <c r="G21" s="164">
        <f t="shared" ca="1" si="6"/>
        <v>23</v>
      </c>
      <c r="H21" s="164">
        <f t="shared" ca="1" si="6"/>
        <v>24</v>
      </c>
      <c r="I21" s="164">
        <f t="shared" ca="1" si="6"/>
        <v>17</v>
      </c>
      <c r="J21" s="164">
        <f t="shared" ca="1" si="6"/>
        <v>17</v>
      </c>
      <c r="K21" s="164">
        <f t="shared" ca="1" si="6"/>
        <v>18</v>
      </c>
      <c r="L21" s="164">
        <f t="shared" ca="1" si="6"/>
        <v>24</v>
      </c>
      <c r="M21" s="164">
        <f t="shared" ca="1" si="6"/>
        <v>21</v>
      </c>
      <c r="O21" s="273">
        <v>22</v>
      </c>
      <c r="P21" s="195" t="s">
        <v>325</v>
      </c>
      <c r="Q21" s="164">
        <f t="shared" ca="1" si="5"/>
        <v>19</v>
      </c>
      <c r="R21" s="164">
        <f t="shared" ca="1" si="3"/>
        <v>19</v>
      </c>
      <c r="S21" s="164">
        <f t="shared" ca="1" si="3"/>
        <v>21</v>
      </c>
      <c r="T21" s="164">
        <f t="shared" ca="1" si="3"/>
        <v>17</v>
      </c>
      <c r="U21" s="164">
        <f t="shared" ca="1" si="3"/>
        <v>23</v>
      </c>
      <c r="V21" s="164">
        <f t="shared" ca="1" si="3"/>
        <v>18</v>
      </c>
      <c r="W21" s="164">
        <f t="shared" ca="1" si="3"/>
        <v>20</v>
      </c>
      <c r="X21" s="164">
        <f t="shared" ca="1" si="3"/>
        <v>25</v>
      </c>
      <c r="Y21" s="164">
        <f t="shared" ca="1" si="3"/>
        <v>18</v>
      </c>
      <c r="Z21" s="164">
        <f t="shared" ca="1" si="3"/>
        <v>22</v>
      </c>
    </row>
    <row r="22" spans="2:26" ht="26.25" thickTop="1" thickBot="1" x14ac:dyDescent="0.5">
      <c r="B22" s="274"/>
      <c r="C22" s="195" t="s">
        <v>326</v>
      </c>
      <c r="D22" s="164">
        <f t="shared" ref="D22:M37" ca="1" si="7">RANDBETWEEN(13,25)</f>
        <v>20</v>
      </c>
      <c r="E22" s="164">
        <f t="shared" ca="1" si="7"/>
        <v>19</v>
      </c>
      <c r="F22" s="164">
        <f t="shared" ca="1" si="7"/>
        <v>14</v>
      </c>
      <c r="G22" s="164">
        <f t="shared" ca="1" si="7"/>
        <v>17</v>
      </c>
      <c r="H22" s="164">
        <f t="shared" ca="1" si="7"/>
        <v>23</v>
      </c>
      <c r="I22" s="164">
        <f t="shared" ca="1" si="7"/>
        <v>22</v>
      </c>
      <c r="J22" s="164">
        <f t="shared" ca="1" si="7"/>
        <v>14</v>
      </c>
      <c r="K22" s="164">
        <f t="shared" ca="1" si="7"/>
        <v>15</v>
      </c>
      <c r="L22" s="164">
        <f t="shared" ca="1" si="7"/>
        <v>20</v>
      </c>
      <c r="M22" s="164">
        <f t="shared" ca="1" si="7"/>
        <v>23</v>
      </c>
      <c r="O22" s="274"/>
      <c r="P22" s="195" t="s">
        <v>326</v>
      </c>
      <c r="Q22" s="164">
        <f t="shared" ca="1" si="5"/>
        <v>17</v>
      </c>
      <c r="R22" s="164">
        <f t="shared" ca="1" si="5"/>
        <v>23</v>
      </c>
      <c r="S22" s="164">
        <f t="shared" ca="1" si="5"/>
        <v>23</v>
      </c>
      <c r="T22" s="164">
        <f t="shared" ca="1" si="5"/>
        <v>16</v>
      </c>
      <c r="U22" s="164">
        <f t="shared" ca="1" si="5"/>
        <v>25</v>
      </c>
      <c r="V22" s="164">
        <f t="shared" ca="1" si="5"/>
        <v>17</v>
      </c>
      <c r="W22" s="164">
        <f t="shared" ca="1" si="5"/>
        <v>25</v>
      </c>
      <c r="X22" s="164">
        <f t="shared" ca="1" si="5"/>
        <v>24</v>
      </c>
      <c r="Y22" s="164">
        <f t="shared" ca="1" si="5"/>
        <v>16</v>
      </c>
      <c r="Z22" s="164">
        <f t="shared" ca="1" si="5"/>
        <v>18</v>
      </c>
    </row>
    <row r="23" spans="2:26" ht="26.25" thickTop="1" thickBot="1" x14ac:dyDescent="0.5">
      <c r="B23" s="273">
        <v>10</v>
      </c>
      <c r="C23" s="195" t="s">
        <v>325</v>
      </c>
      <c r="D23" s="164">
        <f t="shared" ca="1" si="7"/>
        <v>16</v>
      </c>
      <c r="E23" s="164">
        <f t="shared" ca="1" si="7"/>
        <v>21</v>
      </c>
      <c r="F23" s="164">
        <f t="shared" ca="1" si="7"/>
        <v>16</v>
      </c>
      <c r="G23" s="164">
        <f t="shared" ca="1" si="7"/>
        <v>17</v>
      </c>
      <c r="H23" s="164">
        <f t="shared" ca="1" si="7"/>
        <v>20</v>
      </c>
      <c r="I23" s="164">
        <f t="shared" ca="1" si="7"/>
        <v>18</v>
      </c>
      <c r="J23" s="164">
        <f t="shared" ca="1" si="7"/>
        <v>22</v>
      </c>
      <c r="K23" s="164">
        <f t="shared" ca="1" si="7"/>
        <v>18</v>
      </c>
      <c r="L23" s="164">
        <f t="shared" ca="1" si="7"/>
        <v>14</v>
      </c>
      <c r="M23" s="164">
        <f t="shared" ca="1" si="7"/>
        <v>24</v>
      </c>
      <c r="O23" s="273">
        <v>23</v>
      </c>
      <c r="P23" s="195" t="s">
        <v>325</v>
      </c>
      <c r="Q23" s="164">
        <f t="shared" ca="1" si="5"/>
        <v>20</v>
      </c>
      <c r="R23" s="164">
        <f t="shared" ca="1" si="5"/>
        <v>25</v>
      </c>
      <c r="S23" s="164">
        <f t="shared" ca="1" si="5"/>
        <v>16</v>
      </c>
      <c r="T23" s="164">
        <f t="shared" ca="1" si="5"/>
        <v>14</v>
      </c>
      <c r="U23" s="164">
        <f t="shared" ca="1" si="5"/>
        <v>25</v>
      </c>
      <c r="V23" s="164">
        <f t="shared" ca="1" si="5"/>
        <v>20</v>
      </c>
      <c r="W23" s="164">
        <f t="shared" ca="1" si="5"/>
        <v>13</v>
      </c>
      <c r="X23" s="164">
        <f t="shared" ca="1" si="5"/>
        <v>21</v>
      </c>
      <c r="Y23" s="164">
        <f t="shared" ca="1" si="5"/>
        <v>21</v>
      </c>
      <c r="Z23" s="164">
        <f t="shared" ca="1" si="5"/>
        <v>24</v>
      </c>
    </row>
    <row r="24" spans="2:26" ht="26.25" thickTop="1" thickBot="1" x14ac:dyDescent="0.5">
      <c r="B24" s="274"/>
      <c r="C24" s="195" t="s">
        <v>326</v>
      </c>
      <c r="D24" s="164">
        <f t="shared" ca="1" si="7"/>
        <v>25</v>
      </c>
      <c r="E24" s="164">
        <f t="shared" ca="1" si="7"/>
        <v>22</v>
      </c>
      <c r="F24" s="164">
        <f t="shared" ca="1" si="7"/>
        <v>20</v>
      </c>
      <c r="G24" s="164">
        <f t="shared" ca="1" si="7"/>
        <v>22</v>
      </c>
      <c r="H24" s="164">
        <f t="shared" ca="1" si="7"/>
        <v>22</v>
      </c>
      <c r="I24" s="164">
        <f t="shared" ca="1" si="7"/>
        <v>19</v>
      </c>
      <c r="J24" s="164">
        <f t="shared" ca="1" si="7"/>
        <v>23</v>
      </c>
      <c r="K24" s="164">
        <f t="shared" ca="1" si="7"/>
        <v>21</v>
      </c>
      <c r="L24" s="164">
        <f t="shared" ca="1" si="7"/>
        <v>13</v>
      </c>
      <c r="M24" s="164">
        <f t="shared" ca="1" si="7"/>
        <v>14</v>
      </c>
      <c r="O24" s="274"/>
      <c r="P24" s="195" t="s">
        <v>326</v>
      </c>
      <c r="Q24" s="164">
        <f t="shared" ca="1" si="5"/>
        <v>20</v>
      </c>
      <c r="R24" s="164">
        <f t="shared" ca="1" si="5"/>
        <v>22</v>
      </c>
      <c r="S24" s="164">
        <f t="shared" ca="1" si="5"/>
        <v>18</v>
      </c>
      <c r="T24" s="164">
        <f t="shared" ca="1" si="5"/>
        <v>17</v>
      </c>
      <c r="U24" s="164">
        <f t="shared" ca="1" si="5"/>
        <v>13</v>
      </c>
      <c r="V24" s="164">
        <f t="shared" ca="1" si="5"/>
        <v>21</v>
      </c>
      <c r="W24" s="164">
        <f t="shared" ca="1" si="5"/>
        <v>24</v>
      </c>
      <c r="X24" s="164">
        <f t="shared" ca="1" si="5"/>
        <v>19</v>
      </c>
      <c r="Y24" s="164">
        <f t="shared" ca="1" si="5"/>
        <v>14</v>
      </c>
      <c r="Z24" s="164">
        <f t="shared" ca="1" si="5"/>
        <v>19</v>
      </c>
    </row>
    <row r="25" spans="2:26" ht="26.25" thickTop="1" thickBot="1" x14ac:dyDescent="0.5">
      <c r="B25" s="273">
        <v>11</v>
      </c>
      <c r="C25" s="195" t="s">
        <v>325</v>
      </c>
      <c r="D25" s="164">
        <f t="shared" ca="1" si="7"/>
        <v>14</v>
      </c>
      <c r="E25" s="164">
        <f t="shared" ca="1" si="7"/>
        <v>23</v>
      </c>
      <c r="F25" s="164">
        <f t="shared" ca="1" si="7"/>
        <v>17</v>
      </c>
      <c r="G25" s="164">
        <f t="shared" ca="1" si="7"/>
        <v>19</v>
      </c>
      <c r="H25" s="164">
        <f t="shared" ca="1" si="7"/>
        <v>25</v>
      </c>
      <c r="I25" s="164">
        <f t="shared" ca="1" si="7"/>
        <v>22</v>
      </c>
      <c r="J25" s="164">
        <f t="shared" ca="1" si="7"/>
        <v>24</v>
      </c>
      <c r="K25" s="164">
        <f t="shared" ca="1" si="7"/>
        <v>21</v>
      </c>
      <c r="L25" s="164">
        <f t="shared" ca="1" si="7"/>
        <v>14</v>
      </c>
      <c r="M25" s="164">
        <f t="shared" ca="1" si="7"/>
        <v>16</v>
      </c>
      <c r="O25" s="273">
        <v>24</v>
      </c>
      <c r="P25" s="195" t="s">
        <v>325</v>
      </c>
      <c r="Q25" s="164">
        <f t="shared" ca="1" si="5"/>
        <v>21</v>
      </c>
      <c r="R25" s="164">
        <f t="shared" ca="1" si="5"/>
        <v>17</v>
      </c>
      <c r="S25" s="164">
        <f t="shared" ca="1" si="5"/>
        <v>15</v>
      </c>
      <c r="T25" s="164">
        <f t="shared" ca="1" si="5"/>
        <v>21</v>
      </c>
      <c r="U25" s="164">
        <f t="shared" ca="1" si="5"/>
        <v>14</v>
      </c>
      <c r="V25" s="164">
        <f t="shared" ca="1" si="5"/>
        <v>23</v>
      </c>
      <c r="W25" s="164">
        <f t="shared" ca="1" si="5"/>
        <v>15</v>
      </c>
      <c r="X25" s="164">
        <f t="shared" ca="1" si="5"/>
        <v>13</v>
      </c>
      <c r="Y25" s="164">
        <f t="shared" ca="1" si="5"/>
        <v>22</v>
      </c>
      <c r="Z25" s="164">
        <f t="shared" ca="1" si="5"/>
        <v>25</v>
      </c>
    </row>
    <row r="26" spans="2:26" ht="26.25" thickTop="1" thickBot="1" x14ac:dyDescent="0.5">
      <c r="B26" s="274"/>
      <c r="C26" s="195" t="s">
        <v>326</v>
      </c>
      <c r="D26" s="164">
        <f t="shared" ca="1" si="7"/>
        <v>15</v>
      </c>
      <c r="E26" s="164">
        <f t="shared" ca="1" si="7"/>
        <v>23</v>
      </c>
      <c r="F26" s="164">
        <f t="shared" ca="1" si="7"/>
        <v>25</v>
      </c>
      <c r="G26" s="164">
        <f t="shared" ca="1" si="7"/>
        <v>21</v>
      </c>
      <c r="H26" s="164">
        <f t="shared" ca="1" si="7"/>
        <v>25</v>
      </c>
      <c r="I26" s="164">
        <f t="shared" ca="1" si="7"/>
        <v>22</v>
      </c>
      <c r="J26" s="164">
        <f t="shared" ca="1" si="7"/>
        <v>19</v>
      </c>
      <c r="K26" s="164">
        <f t="shared" ca="1" si="7"/>
        <v>16</v>
      </c>
      <c r="L26" s="164">
        <f t="shared" ca="1" si="7"/>
        <v>21</v>
      </c>
      <c r="M26" s="164">
        <f t="shared" ca="1" si="7"/>
        <v>22</v>
      </c>
      <c r="O26" s="274"/>
      <c r="P26" s="195" t="s">
        <v>326</v>
      </c>
      <c r="Q26" s="164">
        <f t="shared" ca="1" si="5"/>
        <v>14</v>
      </c>
      <c r="R26" s="164">
        <f t="shared" ca="1" si="5"/>
        <v>14</v>
      </c>
      <c r="S26" s="164">
        <f t="shared" ca="1" si="5"/>
        <v>14</v>
      </c>
      <c r="T26" s="164">
        <f t="shared" ca="1" si="5"/>
        <v>23</v>
      </c>
      <c r="U26" s="164">
        <f t="shared" ca="1" si="5"/>
        <v>13</v>
      </c>
      <c r="V26" s="164">
        <f t="shared" ca="1" si="5"/>
        <v>15</v>
      </c>
      <c r="W26" s="164">
        <f t="shared" ca="1" si="5"/>
        <v>20</v>
      </c>
      <c r="X26" s="164">
        <f t="shared" ca="1" si="5"/>
        <v>19</v>
      </c>
      <c r="Y26" s="164">
        <f t="shared" ca="1" si="5"/>
        <v>24</v>
      </c>
      <c r="Z26" s="164">
        <f t="shared" ca="1" si="5"/>
        <v>23</v>
      </c>
    </row>
    <row r="27" spans="2:26" ht="26.25" thickTop="1" thickBot="1" x14ac:dyDescent="0.5">
      <c r="B27" s="273">
        <v>12</v>
      </c>
      <c r="C27" s="195" t="s">
        <v>325</v>
      </c>
      <c r="D27" s="164">
        <f t="shared" ca="1" si="7"/>
        <v>18</v>
      </c>
      <c r="E27" s="164">
        <f t="shared" ca="1" si="7"/>
        <v>13</v>
      </c>
      <c r="F27" s="164">
        <f t="shared" ca="1" si="7"/>
        <v>16</v>
      </c>
      <c r="G27" s="164">
        <f t="shared" ca="1" si="7"/>
        <v>22</v>
      </c>
      <c r="H27" s="164">
        <f t="shared" ca="1" si="7"/>
        <v>25</v>
      </c>
      <c r="I27" s="164">
        <f t="shared" ca="1" si="7"/>
        <v>23</v>
      </c>
      <c r="J27" s="164">
        <f t="shared" ca="1" si="7"/>
        <v>25</v>
      </c>
      <c r="K27" s="164">
        <f t="shared" ca="1" si="7"/>
        <v>13</v>
      </c>
      <c r="L27" s="164">
        <f t="shared" ca="1" si="7"/>
        <v>24</v>
      </c>
      <c r="M27" s="164">
        <f t="shared" ca="1" si="7"/>
        <v>21</v>
      </c>
      <c r="O27" s="273">
        <v>25</v>
      </c>
      <c r="P27" s="195" t="s">
        <v>325</v>
      </c>
      <c r="Q27" s="164">
        <f t="shared" ca="1" si="5"/>
        <v>13</v>
      </c>
      <c r="R27" s="164">
        <f t="shared" ca="1" si="5"/>
        <v>18</v>
      </c>
      <c r="S27" s="164">
        <f t="shared" ca="1" si="5"/>
        <v>13</v>
      </c>
      <c r="T27" s="164">
        <f t="shared" ca="1" si="5"/>
        <v>22</v>
      </c>
      <c r="U27" s="164">
        <f t="shared" ca="1" si="5"/>
        <v>19</v>
      </c>
      <c r="V27" s="164">
        <f t="shared" ca="1" si="5"/>
        <v>14</v>
      </c>
      <c r="W27" s="164">
        <f t="shared" ca="1" si="5"/>
        <v>20</v>
      </c>
      <c r="X27" s="164">
        <f t="shared" ca="1" si="5"/>
        <v>17</v>
      </c>
      <c r="Y27" s="164">
        <f t="shared" ca="1" si="5"/>
        <v>16</v>
      </c>
      <c r="Z27" s="164">
        <f t="shared" ca="1" si="5"/>
        <v>16</v>
      </c>
    </row>
    <row r="28" spans="2:26" ht="26.25" thickTop="1" thickBot="1" x14ac:dyDescent="0.5">
      <c r="B28" s="274"/>
      <c r="C28" s="195" t="s">
        <v>326</v>
      </c>
      <c r="D28" s="164">
        <f t="shared" ca="1" si="7"/>
        <v>14</v>
      </c>
      <c r="E28" s="164">
        <f t="shared" ca="1" si="7"/>
        <v>13</v>
      </c>
      <c r="F28" s="164">
        <f t="shared" ca="1" si="7"/>
        <v>15</v>
      </c>
      <c r="G28" s="164">
        <f t="shared" ca="1" si="7"/>
        <v>22</v>
      </c>
      <c r="H28" s="164">
        <f t="shared" ca="1" si="7"/>
        <v>23</v>
      </c>
      <c r="I28" s="164">
        <f t="shared" ca="1" si="7"/>
        <v>19</v>
      </c>
      <c r="J28" s="164">
        <f t="shared" ca="1" si="7"/>
        <v>22</v>
      </c>
      <c r="K28" s="164">
        <f t="shared" ca="1" si="7"/>
        <v>20</v>
      </c>
      <c r="L28" s="164">
        <f t="shared" ca="1" si="7"/>
        <v>14</v>
      </c>
      <c r="M28" s="164">
        <f t="shared" ca="1" si="7"/>
        <v>15</v>
      </c>
      <c r="O28" s="274"/>
      <c r="P28" s="195" t="s">
        <v>326</v>
      </c>
      <c r="Q28" s="164">
        <f t="shared" ca="1" si="5"/>
        <v>25</v>
      </c>
      <c r="R28" s="164">
        <f t="shared" ca="1" si="5"/>
        <v>20</v>
      </c>
      <c r="S28" s="164">
        <f t="shared" ca="1" si="5"/>
        <v>14</v>
      </c>
      <c r="T28" s="164">
        <f t="shared" ca="1" si="5"/>
        <v>21</v>
      </c>
      <c r="U28" s="164">
        <f t="shared" ca="1" si="5"/>
        <v>13</v>
      </c>
      <c r="V28" s="164">
        <f t="shared" ca="1" si="5"/>
        <v>22</v>
      </c>
      <c r="W28" s="164">
        <f t="shared" ca="1" si="5"/>
        <v>15</v>
      </c>
      <c r="X28" s="164">
        <f t="shared" ca="1" si="5"/>
        <v>20</v>
      </c>
      <c r="Y28" s="164">
        <f t="shared" ca="1" si="5"/>
        <v>16</v>
      </c>
      <c r="Z28" s="164">
        <f t="shared" ca="1" si="5"/>
        <v>13</v>
      </c>
    </row>
    <row r="29" spans="2:26" ht="26.25" thickTop="1" thickBot="1" x14ac:dyDescent="0.5">
      <c r="B29" s="273">
        <v>13</v>
      </c>
      <c r="C29" s="195" t="s">
        <v>325</v>
      </c>
      <c r="D29" s="164">
        <f t="shared" ca="1" si="7"/>
        <v>19</v>
      </c>
      <c r="E29" s="164">
        <f t="shared" ca="1" si="7"/>
        <v>22</v>
      </c>
      <c r="F29" s="164">
        <f t="shared" ca="1" si="7"/>
        <v>15</v>
      </c>
      <c r="G29" s="164">
        <f t="shared" ca="1" si="7"/>
        <v>14</v>
      </c>
      <c r="H29" s="164">
        <f t="shared" ca="1" si="7"/>
        <v>22</v>
      </c>
      <c r="I29" s="164">
        <f t="shared" ca="1" si="7"/>
        <v>13</v>
      </c>
      <c r="J29" s="164">
        <f t="shared" ca="1" si="7"/>
        <v>24</v>
      </c>
      <c r="K29" s="164">
        <f t="shared" ca="1" si="7"/>
        <v>24</v>
      </c>
      <c r="L29" s="164">
        <f t="shared" ca="1" si="7"/>
        <v>18</v>
      </c>
      <c r="M29" s="164">
        <f t="shared" ca="1" si="7"/>
        <v>21</v>
      </c>
      <c r="O29" s="273">
        <v>26</v>
      </c>
      <c r="P29" s="195" t="s">
        <v>325</v>
      </c>
      <c r="Q29" s="164">
        <f t="shared" ca="1" si="5"/>
        <v>16</v>
      </c>
      <c r="R29" s="164">
        <f t="shared" ca="1" si="5"/>
        <v>13</v>
      </c>
      <c r="S29" s="164">
        <f t="shared" ca="1" si="5"/>
        <v>23</v>
      </c>
      <c r="T29" s="164">
        <f t="shared" ca="1" si="5"/>
        <v>24</v>
      </c>
      <c r="U29" s="164">
        <f t="shared" ca="1" si="5"/>
        <v>25</v>
      </c>
      <c r="V29" s="164">
        <f t="shared" ca="1" si="5"/>
        <v>24</v>
      </c>
      <c r="W29" s="164">
        <f t="shared" ca="1" si="5"/>
        <v>19</v>
      </c>
      <c r="X29" s="164">
        <f t="shared" ca="1" si="5"/>
        <v>23</v>
      </c>
      <c r="Y29" s="164">
        <f t="shared" ca="1" si="5"/>
        <v>14</v>
      </c>
      <c r="Z29" s="164">
        <f t="shared" ca="1" si="5"/>
        <v>19</v>
      </c>
    </row>
    <row r="30" spans="2:26" ht="26.25" thickTop="1" thickBot="1" x14ac:dyDescent="0.5">
      <c r="B30" s="274"/>
      <c r="C30" s="195" t="s">
        <v>326</v>
      </c>
      <c r="D30" s="164">
        <f t="shared" ca="1" si="7"/>
        <v>25</v>
      </c>
      <c r="E30" s="164">
        <f t="shared" ca="1" si="7"/>
        <v>17</v>
      </c>
      <c r="F30" s="164">
        <f t="shared" ca="1" si="7"/>
        <v>21</v>
      </c>
      <c r="G30" s="164">
        <f t="shared" ca="1" si="7"/>
        <v>24</v>
      </c>
      <c r="H30" s="164">
        <f t="shared" ca="1" si="7"/>
        <v>24</v>
      </c>
      <c r="I30" s="164">
        <f t="shared" ca="1" si="7"/>
        <v>25</v>
      </c>
      <c r="J30" s="164">
        <f t="shared" ca="1" si="7"/>
        <v>17</v>
      </c>
      <c r="K30" s="164">
        <f t="shared" ca="1" si="7"/>
        <v>24</v>
      </c>
      <c r="L30" s="164">
        <f t="shared" ca="1" si="7"/>
        <v>14</v>
      </c>
      <c r="M30" s="164">
        <f t="shared" ca="1" si="7"/>
        <v>17</v>
      </c>
      <c r="O30" s="274"/>
      <c r="P30" s="195" t="s">
        <v>326</v>
      </c>
      <c r="Q30" s="164">
        <f t="shared" ca="1" si="5"/>
        <v>24</v>
      </c>
      <c r="R30" s="164">
        <f t="shared" ca="1" si="5"/>
        <v>16</v>
      </c>
      <c r="S30" s="164">
        <f t="shared" ca="1" si="5"/>
        <v>20</v>
      </c>
      <c r="T30" s="164">
        <f t="shared" ca="1" si="5"/>
        <v>16</v>
      </c>
      <c r="U30" s="164">
        <f t="shared" ca="1" si="5"/>
        <v>15</v>
      </c>
      <c r="V30" s="164">
        <f t="shared" ca="1" si="5"/>
        <v>14</v>
      </c>
      <c r="W30" s="164">
        <f t="shared" ca="1" si="5"/>
        <v>22</v>
      </c>
      <c r="X30" s="164">
        <f t="shared" ca="1" si="5"/>
        <v>22</v>
      </c>
      <c r="Y30" s="164">
        <f t="shared" ca="1" si="5"/>
        <v>18</v>
      </c>
      <c r="Z30" s="164">
        <f t="shared" ca="1" si="5"/>
        <v>18</v>
      </c>
    </row>
    <row r="31" spans="2:26" ht="26.25" thickTop="1" thickBot="1" x14ac:dyDescent="0.5">
      <c r="B31" s="273">
        <v>14</v>
      </c>
      <c r="C31" s="195" t="s">
        <v>325</v>
      </c>
      <c r="D31" s="164">
        <f ca="1">RANDBETWEEN(13,25)</f>
        <v>17</v>
      </c>
      <c r="E31" s="164">
        <f t="shared" ca="1" si="7"/>
        <v>24</v>
      </c>
      <c r="F31" s="164">
        <f t="shared" ca="1" si="7"/>
        <v>18</v>
      </c>
      <c r="G31" s="164">
        <f t="shared" ca="1" si="7"/>
        <v>19</v>
      </c>
      <c r="H31" s="164">
        <f t="shared" ca="1" si="7"/>
        <v>20</v>
      </c>
      <c r="I31" s="164">
        <f t="shared" ca="1" si="7"/>
        <v>18</v>
      </c>
      <c r="J31" s="164">
        <f t="shared" ca="1" si="7"/>
        <v>20</v>
      </c>
      <c r="K31" s="164">
        <f t="shared" ca="1" si="7"/>
        <v>22</v>
      </c>
      <c r="L31" s="164">
        <f t="shared" ca="1" si="7"/>
        <v>19</v>
      </c>
      <c r="M31" s="164">
        <f t="shared" ca="1" si="7"/>
        <v>25</v>
      </c>
    </row>
    <row r="32" spans="2:26" ht="26.25" thickTop="1" thickBot="1" x14ac:dyDescent="0.5">
      <c r="B32" s="274"/>
      <c r="C32" s="195" t="s">
        <v>326</v>
      </c>
      <c r="D32" s="164">
        <f t="shared" ref="D32:M47" ca="1" si="8">RANDBETWEEN(13,25)</f>
        <v>22</v>
      </c>
      <c r="E32" s="164">
        <f t="shared" ca="1" si="7"/>
        <v>15</v>
      </c>
      <c r="F32" s="164">
        <f t="shared" ca="1" si="7"/>
        <v>19</v>
      </c>
      <c r="G32" s="164">
        <f t="shared" ca="1" si="7"/>
        <v>22</v>
      </c>
      <c r="H32" s="164">
        <f t="shared" ca="1" si="7"/>
        <v>25</v>
      </c>
      <c r="I32" s="164">
        <f t="shared" ca="1" si="7"/>
        <v>23</v>
      </c>
      <c r="J32" s="164">
        <f t="shared" ca="1" si="7"/>
        <v>18</v>
      </c>
      <c r="K32" s="164">
        <f t="shared" ca="1" si="7"/>
        <v>25</v>
      </c>
      <c r="L32" s="164">
        <f t="shared" ca="1" si="7"/>
        <v>15</v>
      </c>
      <c r="M32" s="164">
        <f t="shared" ca="1" si="7"/>
        <v>16</v>
      </c>
    </row>
    <row r="33" spans="2:13" ht="26.25" thickTop="1" thickBot="1" x14ac:dyDescent="0.5">
      <c r="B33" s="273">
        <v>15</v>
      </c>
      <c r="C33" s="195" t="s">
        <v>325</v>
      </c>
      <c r="D33" s="164">
        <f t="shared" ca="1" si="8"/>
        <v>17</v>
      </c>
      <c r="E33" s="164">
        <f t="shared" ca="1" si="7"/>
        <v>19</v>
      </c>
      <c r="F33" s="164">
        <f t="shared" ca="1" si="7"/>
        <v>24</v>
      </c>
      <c r="G33" s="164">
        <f t="shared" ca="1" si="7"/>
        <v>13</v>
      </c>
      <c r="H33" s="164">
        <f t="shared" ca="1" si="7"/>
        <v>14</v>
      </c>
      <c r="I33" s="164">
        <f t="shared" ca="1" si="7"/>
        <v>15</v>
      </c>
      <c r="J33" s="164">
        <f t="shared" ca="1" si="7"/>
        <v>24</v>
      </c>
      <c r="K33" s="164">
        <f t="shared" ca="1" si="7"/>
        <v>19</v>
      </c>
      <c r="L33" s="164">
        <f t="shared" ca="1" si="7"/>
        <v>17</v>
      </c>
      <c r="M33" s="164">
        <f t="shared" ca="1" si="7"/>
        <v>15</v>
      </c>
    </row>
    <row r="34" spans="2:13" ht="26.25" thickTop="1" thickBot="1" x14ac:dyDescent="0.5">
      <c r="B34" s="274"/>
      <c r="C34" s="195" t="s">
        <v>326</v>
      </c>
      <c r="D34" s="164">
        <f t="shared" ca="1" si="8"/>
        <v>15</v>
      </c>
      <c r="E34" s="164">
        <f t="shared" ca="1" si="7"/>
        <v>19</v>
      </c>
      <c r="F34" s="164">
        <f t="shared" ca="1" si="7"/>
        <v>17</v>
      </c>
      <c r="G34" s="164">
        <f t="shared" ca="1" si="7"/>
        <v>18</v>
      </c>
      <c r="H34" s="164">
        <f t="shared" ca="1" si="7"/>
        <v>19</v>
      </c>
      <c r="I34" s="164">
        <f t="shared" ca="1" si="7"/>
        <v>15</v>
      </c>
      <c r="J34" s="164">
        <f t="shared" ca="1" si="7"/>
        <v>16</v>
      </c>
      <c r="K34" s="164">
        <f t="shared" ca="1" si="7"/>
        <v>19</v>
      </c>
      <c r="L34" s="164">
        <f t="shared" ca="1" si="7"/>
        <v>19</v>
      </c>
      <c r="M34" s="164">
        <f t="shared" ca="1" si="7"/>
        <v>19</v>
      </c>
    </row>
    <row r="35" spans="2:13" ht="26.25" thickTop="1" thickBot="1" x14ac:dyDescent="0.5">
      <c r="B35" s="273">
        <v>16</v>
      </c>
      <c r="C35" s="195" t="s">
        <v>325</v>
      </c>
      <c r="D35" s="164">
        <f t="shared" ca="1" si="8"/>
        <v>22</v>
      </c>
      <c r="E35" s="164">
        <f t="shared" ca="1" si="7"/>
        <v>20</v>
      </c>
      <c r="F35" s="164">
        <f t="shared" ca="1" si="7"/>
        <v>21</v>
      </c>
      <c r="G35" s="164">
        <f t="shared" ca="1" si="7"/>
        <v>17</v>
      </c>
      <c r="H35" s="164">
        <f t="shared" ca="1" si="7"/>
        <v>23</v>
      </c>
      <c r="I35" s="164">
        <f t="shared" ca="1" si="7"/>
        <v>16</v>
      </c>
      <c r="J35" s="164">
        <f t="shared" ca="1" si="7"/>
        <v>18</v>
      </c>
      <c r="K35" s="164">
        <f t="shared" ca="1" si="7"/>
        <v>17</v>
      </c>
      <c r="L35" s="164">
        <f t="shared" ca="1" si="7"/>
        <v>18</v>
      </c>
      <c r="M35" s="164">
        <f t="shared" ca="1" si="7"/>
        <v>14</v>
      </c>
    </row>
    <row r="36" spans="2:13" ht="26.25" thickTop="1" thickBot="1" x14ac:dyDescent="0.5">
      <c r="B36" s="274"/>
      <c r="C36" s="195" t="s">
        <v>326</v>
      </c>
      <c r="D36" s="164">
        <f t="shared" ca="1" si="8"/>
        <v>13</v>
      </c>
      <c r="E36" s="164">
        <f t="shared" ca="1" si="7"/>
        <v>18</v>
      </c>
      <c r="F36" s="164">
        <f t="shared" ca="1" si="7"/>
        <v>13</v>
      </c>
      <c r="G36" s="164">
        <f t="shared" ca="1" si="7"/>
        <v>21</v>
      </c>
      <c r="H36" s="164">
        <f t="shared" ca="1" si="7"/>
        <v>16</v>
      </c>
      <c r="I36" s="164">
        <f t="shared" ca="1" si="7"/>
        <v>19</v>
      </c>
      <c r="J36" s="164">
        <f t="shared" ca="1" si="7"/>
        <v>13</v>
      </c>
      <c r="K36" s="164">
        <f t="shared" ca="1" si="7"/>
        <v>20</v>
      </c>
      <c r="L36" s="164">
        <f t="shared" ca="1" si="7"/>
        <v>13</v>
      </c>
      <c r="M36" s="164">
        <f t="shared" ca="1" si="7"/>
        <v>19</v>
      </c>
    </row>
    <row r="37" spans="2:13" ht="26.25" thickTop="1" thickBot="1" x14ac:dyDescent="0.5">
      <c r="B37" s="273">
        <v>17</v>
      </c>
      <c r="C37" s="195" t="s">
        <v>325</v>
      </c>
      <c r="D37" s="164">
        <f t="shared" ca="1" si="8"/>
        <v>18</v>
      </c>
      <c r="E37" s="164">
        <f t="shared" ca="1" si="7"/>
        <v>23</v>
      </c>
      <c r="F37" s="164">
        <f t="shared" ca="1" si="7"/>
        <v>23</v>
      </c>
      <c r="G37" s="164">
        <f t="shared" ca="1" si="7"/>
        <v>14</v>
      </c>
      <c r="H37" s="164">
        <f t="shared" ca="1" si="7"/>
        <v>20</v>
      </c>
      <c r="I37" s="164">
        <f t="shared" ca="1" si="7"/>
        <v>13</v>
      </c>
      <c r="J37" s="164">
        <f t="shared" ca="1" si="7"/>
        <v>20</v>
      </c>
      <c r="K37" s="164">
        <f t="shared" ca="1" si="7"/>
        <v>14</v>
      </c>
      <c r="L37" s="164">
        <f t="shared" ca="1" si="7"/>
        <v>16</v>
      </c>
      <c r="M37" s="164">
        <f t="shared" ca="1" si="7"/>
        <v>22</v>
      </c>
    </row>
    <row r="38" spans="2:13" ht="26.25" thickTop="1" thickBot="1" x14ac:dyDescent="0.5">
      <c r="B38" s="274"/>
      <c r="C38" s="195" t="s">
        <v>326</v>
      </c>
      <c r="D38" s="164">
        <f t="shared" ca="1" si="8"/>
        <v>14</v>
      </c>
      <c r="E38" s="164">
        <f t="shared" ca="1" si="8"/>
        <v>14</v>
      </c>
      <c r="F38" s="164">
        <f t="shared" ca="1" si="8"/>
        <v>16</v>
      </c>
      <c r="G38" s="164">
        <f t="shared" ca="1" si="8"/>
        <v>24</v>
      </c>
      <c r="H38" s="164">
        <f t="shared" ca="1" si="8"/>
        <v>18</v>
      </c>
      <c r="I38" s="164">
        <f t="shared" ca="1" si="8"/>
        <v>13</v>
      </c>
      <c r="J38" s="164">
        <f t="shared" ca="1" si="8"/>
        <v>21</v>
      </c>
      <c r="K38" s="164">
        <f t="shared" ca="1" si="8"/>
        <v>21</v>
      </c>
      <c r="L38" s="164">
        <f t="shared" ca="1" si="8"/>
        <v>23</v>
      </c>
      <c r="M38" s="164">
        <f t="shared" ca="1" si="8"/>
        <v>19</v>
      </c>
    </row>
    <row r="39" spans="2:13" ht="26.25" thickTop="1" thickBot="1" x14ac:dyDescent="0.5">
      <c r="B39" s="273">
        <v>18</v>
      </c>
      <c r="C39" s="195" t="s">
        <v>325</v>
      </c>
      <c r="D39" s="164">
        <f t="shared" ca="1" si="8"/>
        <v>16</v>
      </c>
      <c r="E39" s="164">
        <f t="shared" ca="1" si="8"/>
        <v>23</v>
      </c>
      <c r="F39" s="164">
        <f t="shared" ca="1" si="8"/>
        <v>23</v>
      </c>
      <c r="G39" s="164">
        <f t="shared" ca="1" si="8"/>
        <v>14</v>
      </c>
      <c r="H39" s="164">
        <f t="shared" ca="1" si="8"/>
        <v>18</v>
      </c>
      <c r="I39" s="164">
        <f t="shared" ca="1" si="8"/>
        <v>24</v>
      </c>
      <c r="J39" s="164">
        <f t="shared" ca="1" si="8"/>
        <v>18</v>
      </c>
      <c r="K39" s="164">
        <f t="shared" ca="1" si="8"/>
        <v>15</v>
      </c>
      <c r="L39" s="164">
        <f t="shared" ca="1" si="8"/>
        <v>13</v>
      </c>
      <c r="M39" s="164">
        <f t="shared" ca="1" si="8"/>
        <v>20</v>
      </c>
    </row>
    <row r="40" spans="2:13" ht="26.25" thickTop="1" thickBot="1" x14ac:dyDescent="0.5">
      <c r="B40" s="274"/>
      <c r="C40" s="195" t="s">
        <v>326</v>
      </c>
      <c r="D40" s="164">
        <f t="shared" ca="1" si="8"/>
        <v>24</v>
      </c>
      <c r="E40" s="164">
        <f t="shared" ca="1" si="8"/>
        <v>15</v>
      </c>
      <c r="F40" s="164">
        <f t="shared" ca="1" si="8"/>
        <v>17</v>
      </c>
      <c r="G40" s="164">
        <f t="shared" ca="1" si="8"/>
        <v>17</v>
      </c>
      <c r="H40" s="164">
        <f t="shared" ca="1" si="8"/>
        <v>18</v>
      </c>
      <c r="I40" s="164">
        <f t="shared" ca="1" si="8"/>
        <v>15</v>
      </c>
      <c r="J40" s="164">
        <f t="shared" ca="1" si="8"/>
        <v>17</v>
      </c>
      <c r="K40" s="164">
        <f t="shared" ca="1" si="8"/>
        <v>25</v>
      </c>
      <c r="L40" s="164">
        <f t="shared" ca="1" si="8"/>
        <v>19</v>
      </c>
      <c r="M40" s="164">
        <f t="shared" ca="1" si="8"/>
        <v>23</v>
      </c>
    </row>
    <row r="41" spans="2:13" ht="26.25" thickTop="1" thickBot="1" x14ac:dyDescent="0.5">
      <c r="B41" s="273">
        <v>19</v>
      </c>
      <c r="C41" s="195" t="s">
        <v>325</v>
      </c>
      <c r="D41" s="164">
        <f t="shared" ca="1" si="8"/>
        <v>15</v>
      </c>
      <c r="E41" s="164">
        <f t="shared" ca="1" si="8"/>
        <v>20</v>
      </c>
      <c r="F41" s="164">
        <f t="shared" ca="1" si="8"/>
        <v>17</v>
      </c>
      <c r="G41" s="164">
        <f t="shared" ca="1" si="8"/>
        <v>20</v>
      </c>
      <c r="H41" s="164">
        <f t="shared" ca="1" si="8"/>
        <v>16</v>
      </c>
      <c r="I41" s="164">
        <f t="shared" ca="1" si="8"/>
        <v>16</v>
      </c>
      <c r="J41" s="164">
        <f t="shared" ca="1" si="8"/>
        <v>17</v>
      </c>
      <c r="K41" s="164">
        <f t="shared" ca="1" si="8"/>
        <v>16</v>
      </c>
      <c r="L41" s="164">
        <f t="shared" ca="1" si="8"/>
        <v>20</v>
      </c>
      <c r="M41" s="164">
        <f t="shared" ca="1" si="8"/>
        <v>14</v>
      </c>
    </row>
    <row r="42" spans="2:13" ht="26.25" thickTop="1" thickBot="1" x14ac:dyDescent="0.5">
      <c r="B42" s="274"/>
      <c r="C42" s="195" t="s">
        <v>326</v>
      </c>
      <c r="D42" s="164">
        <f t="shared" ca="1" si="8"/>
        <v>17</v>
      </c>
      <c r="E42" s="164">
        <f t="shared" ca="1" si="8"/>
        <v>18</v>
      </c>
      <c r="F42" s="164">
        <f t="shared" ca="1" si="8"/>
        <v>16</v>
      </c>
      <c r="G42" s="164">
        <f t="shared" ca="1" si="8"/>
        <v>18</v>
      </c>
      <c r="H42" s="164">
        <f t="shared" ca="1" si="8"/>
        <v>13</v>
      </c>
      <c r="I42" s="164">
        <f t="shared" ca="1" si="8"/>
        <v>23</v>
      </c>
      <c r="J42" s="164">
        <f t="shared" ca="1" si="8"/>
        <v>23</v>
      </c>
      <c r="K42" s="164">
        <f t="shared" ca="1" si="8"/>
        <v>24</v>
      </c>
      <c r="L42" s="164">
        <f t="shared" ca="1" si="8"/>
        <v>25</v>
      </c>
      <c r="M42" s="164">
        <f t="shared" ca="1" si="8"/>
        <v>25</v>
      </c>
    </row>
    <row r="43" spans="2:13" ht="26.25" thickTop="1" thickBot="1" x14ac:dyDescent="0.5">
      <c r="B43" s="273">
        <v>20</v>
      </c>
      <c r="C43" s="195" t="s">
        <v>325</v>
      </c>
      <c r="D43" s="164">
        <f t="shared" ca="1" si="8"/>
        <v>17</v>
      </c>
      <c r="E43" s="164">
        <f t="shared" ca="1" si="8"/>
        <v>20</v>
      </c>
      <c r="F43" s="164">
        <f t="shared" ca="1" si="8"/>
        <v>24</v>
      </c>
      <c r="G43" s="164">
        <f t="shared" ca="1" si="8"/>
        <v>18</v>
      </c>
      <c r="H43" s="164">
        <f t="shared" ca="1" si="8"/>
        <v>21</v>
      </c>
      <c r="I43" s="164">
        <f t="shared" ca="1" si="8"/>
        <v>19</v>
      </c>
      <c r="J43" s="164">
        <f t="shared" ca="1" si="8"/>
        <v>15</v>
      </c>
      <c r="K43" s="164">
        <f t="shared" ca="1" si="8"/>
        <v>13</v>
      </c>
      <c r="L43" s="164">
        <f t="shared" ca="1" si="8"/>
        <v>18</v>
      </c>
      <c r="M43" s="164">
        <f t="shared" ca="1" si="8"/>
        <v>15</v>
      </c>
    </row>
    <row r="44" spans="2:13" ht="26.25" thickTop="1" thickBot="1" x14ac:dyDescent="0.5">
      <c r="B44" s="274"/>
      <c r="C44" s="195" t="s">
        <v>326</v>
      </c>
      <c r="D44" s="164">
        <f t="shared" ca="1" si="8"/>
        <v>22</v>
      </c>
      <c r="E44" s="164">
        <f t="shared" ca="1" si="8"/>
        <v>25</v>
      </c>
      <c r="F44" s="164">
        <f t="shared" ca="1" si="8"/>
        <v>17</v>
      </c>
      <c r="G44" s="164">
        <f t="shared" ca="1" si="8"/>
        <v>16</v>
      </c>
      <c r="H44" s="164">
        <f t="shared" ca="1" si="8"/>
        <v>13</v>
      </c>
      <c r="I44" s="164">
        <f t="shared" ca="1" si="8"/>
        <v>16</v>
      </c>
      <c r="J44" s="164">
        <f t="shared" ca="1" si="8"/>
        <v>15</v>
      </c>
      <c r="K44" s="164">
        <f t="shared" ca="1" si="8"/>
        <v>24</v>
      </c>
      <c r="L44" s="164">
        <f t="shared" ca="1" si="8"/>
        <v>14</v>
      </c>
      <c r="M44" s="164">
        <f t="shared" ca="1" si="8"/>
        <v>18</v>
      </c>
    </row>
    <row r="45" spans="2:13" ht="26.25" thickTop="1" thickBot="1" x14ac:dyDescent="0.5">
      <c r="B45" s="273">
        <v>21</v>
      </c>
      <c r="C45" s="195" t="s">
        <v>325</v>
      </c>
      <c r="D45" s="164">
        <f ca="1">RANDBETWEEN(13,25)</f>
        <v>20</v>
      </c>
      <c r="E45" s="164">
        <f t="shared" ca="1" si="8"/>
        <v>22</v>
      </c>
      <c r="F45" s="164">
        <f t="shared" ca="1" si="8"/>
        <v>18</v>
      </c>
      <c r="G45" s="164">
        <f t="shared" ca="1" si="8"/>
        <v>16</v>
      </c>
      <c r="H45" s="164">
        <f t="shared" ca="1" si="8"/>
        <v>21</v>
      </c>
      <c r="I45" s="164">
        <f t="shared" ca="1" si="8"/>
        <v>14</v>
      </c>
      <c r="J45" s="164">
        <f t="shared" ca="1" si="8"/>
        <v>17</v>
      </c>
      <c r="K45" s="164">
        <f t="shared" ca="1" si="8"/>
        <v>23</v>
      </c>
      <c r="L45" s="164">
        <f t="shared" ca="1" si="8"/>
        <v>22</v>
      </c>
      <c r="M45" s="164">
        <f t="shared" ca="1" si="8"/>
        <v>14</v>
      </c>
    </row>
    <row r="46" spans="2:13" ht="26.25" thickTop="1" thickBot="1" x14ac:dyDescent="0.5">
      <c r="B46" s="274"/>
      <c r="C46" s="195" t="s">
        <v>326</v>
      </c>
      <c r="D46" s="164">
        <f t="shared" ref="D46:M56" ca="1" si="9">RANDBETWEEN(13,25)</f>
        <v>23</v>
      </c>
      <c r="E46" s="164">
        <f t="shared" ca="1" si="8"/>
        <v>19</v>
      </c>
      <c r="F46" s="164">
        <f t="shared" ca="1" si="8"/>
        <v>14</v>
      </c>
      <c r="G46" s="164">
        <f t="shared" ca="1" si="8"/>
        <v>22</v>
      </c>
      <c r="H46" s="164">
        <f t="shared" ca="1" si="8"/>
        <v>18</v>
      </c>
      <c r="I46" s="164">
        <f t="shared" ca="1" si="8"/>
        <v>18</v>
      </c>
      <c r="J46" s="164">
        <f t="shared" ca="1" si="8"/>
        <v>23</v>
      </c>
      <c r="K46" s="164">
        <f t="shared" ca="1" si="8"/>
        <v>18</v>
      </c>
      <c r="L46" s="164">
        <f t="shared" ca="1" si="8"/>
        <v>13</v>
      </c>
      <c r="M46" s="164">
        <f t="shared" ca="1" si="8"/>
        <v>16</v>
      </c>
    </row>
    <row r="47" spans="2:13" ht="26.25" thickTop="1" thickBot="1" x14ac:dyDescent="0.5">
      <c r="B47" s="273">
        <v>22</v>
      </c>
      <c r="C47" s="195" t="s">
        <v>325</v>
      </c>
      <c r="D47" s="164">
        <f t="shared" ca="1" si="9"/>
        <v>20</v>
      </c>
      <c r="E47" s="164">
        <f t="shared" ca="1" si="8"/>
        <v>13</v>
      </c>
      <c r="F47" s="164">
        <f t="shared" ca="1" si="8"/>
        <v>23</v>
      </c>
      <c r="G47" s="164">
        <f t="shared" ca="1" si="8"/>
        <v>20</v>
      </c>
      <c r="H47" s="164">
        <f t="shared" ca="1" si="8"/>
        <v>13</v>
      </c>
      <c r="I47" s="164">
        <f t="shared" ca="1" si="8"/>
        <v>21</v>
      </c>
      <c r="J47" s="164">
        <f t="shared" ca="1" si="8"/>
        <v>24</v>
      </c>
      <c r="K47" s="164">
        <f t="shared" ca="1" si="8"/>
        <v>18</v>
      </c>
      <c r="L47" s="164">
        <f t="shared" ca="1" si="8"/>
        <v>21</v>
      </c>
      <c r="M47" s="164">
        <f t="shared" ca="1" si="8"/>
        <v>16</v>
      </c>
    </row>
    <row r="48" spans="2:13" ht="26.25" thickTop="1" thickBot="1" x14ac:dyDescent="0.5">
      <c r="B48" s="274"/>
      <c r="C48" s="195" t="s">
        <v>326</v>
      </c>
      <c r="D48" s="164">
        <f t="shared" ca="1" si="9"/>
        <v>22</v>
      </c>
      <c r="E48" s="164">
        <f t="shared" ca="1" si="9"/>
        <v>18</v>
      </c>
      <c r="F48" s="164">
        <f t="shared" ca="1" si="9"/>
        <v>17</v>
      </c>
      <c r="G48" s="164">
        <f t="shared" ca="1" si="9"/>
        <v>14</v>
      </c>
      <c r="H48" s="164">
        <f t="shared" ca="1" si="9"/>
        <v>14</v>
      </c>
      <c r="I48" s="164">
        <f t="shared" ca="1" si="9"/>
        <v>22</v>
      </c>
      <c r="J48" s="164">
        <f t="shared" ca="1" si="9"/>
        <v>21</v>
      </c>
      <c r="K48" s="164">
        <f t="shared" ca="1" si="9"/>
        <v>19</v>
      </c>
      <c r="L48" s="164">
        <f t="shared" ca="1" si="9"/>
        <v>13</v>
      </c>
      <c r="M48" s="164">
        <f t="shared" ca="1" si="9"/>
        <v>23</v>
      </c>
    </row>
    <row r="49" spans="2:13" ht="26.25" thickTop="1" thickBot="1" x14ac:dyDescent="0.5">
      <c r="B49" s="273">
        <v>23</v>
      </c>
      <c r="C49" s="195" t="s">
        <v>325</v>
      </c>
      <c r="D49" s="164">
        <f t="shared" ca="1" si="9"/>
        <v>13</v>
      </c>
      <c r="E49" s="164">
        <f t="shared" ca="1" si="9"/>
        <v>24</v>
      </c>
      <c r="F49" s="164">
        <f t="shared" ca="1" si="9"/>
        <v>21</v>
      </c>
      <c r="G49" s="164">
        <f t="shared" ca="1" si="9"/>
        <v>21</v>
      </c>
      <c r="H49" s="164">
        <f t="shared" ca="1" si="9"/>
        <v>24</v>
      </c>
      <c r="I49" s="164">
        <f t="shared" ca="1" si="9"/>
        <v>17</v>
      </c>
      <c r="J49" s="164">
        <f t="shared" ca="1" si="9"/>
        <v>15</v>
      </c>
      <c r="K49" s="164">
        <f t="shared" ca="1" si="9"/>
        <v>20</v>
      </c>
      <c r="L49" s="164">
        <f t="shared" ca="1" si="9"/>
        <v>20</v>
      </c>
      <c r="M49" s="164">
        <f t="shared" ca="1" si="9"/>
        <v>15</v>
      </c>
    </row>
    <row r="50" spans="2:13" ht="26.25" thickTop="1" thickBot="1" x14ac:dyDescent="0.5">
      <c r="B50" s="274"/>
      <c r="C50" s="195" t="s">
        <v>326</v>
      </c>
      <c r="D50" s="164">
        <f t="shared" ca="1" si="9"/>
        <v>13</v>
      </c>
      <c r="E50" s="164">
        <f t="shared" ca="1" si="9"/>
        <v>23</v>
      </c>
      <c r="F50" s="164">
        <f t="shared" ca="1" si="9"/>
        <v>20</v>
      </c>
      <c r="G50" s="164">
        <f t="shared" ca="1" si="9"/>
        <v>25</v>
      </c>
      <c r="H50" s="164">
        <f t="shared" ca="1" si="9"/>
        <v>15</v>
      </c>
      <c r="I50" s="164">
        <f t="shared" ca="1" si="9"/>
        <v>20</v>
      </c>
      <c r="J50" s="164">
        <f t="shared" ca="1" si="9"/>
        <v>16</v>
      </c>
      <c r="K50" s="164">
        <f t="shared" ca="1" si="9"/>
        <v>24</v>
      </c>
      <c r="L50" s="164">
        <f t="shared" ca="1" si="9"/>
        <v>23</v>
      </c>
      <c r="M50" s="164">
        <f t="shared" ca="1" si="9"/>
        <v>20</v>
      </c>
    </row>
    <row r="51" spans="2:13" ht="26.25" thickTop="1" thickBot="1" x14ac:dyDescent="0.5">
      <c r="B51" s="273">
        <v>24</v>
      </c>
      <c r="C51" s="195" t="s">
        <v>325</v>
      </c>
      <c r="D51" s="164">
        <f t="shared" ca="1" si="9"/>
        <v>13</v>
      </c>
      <c r="E51" s="164">
        <f t="shared" ca="1" si="9"/>
        <v>15</v>
      </c>
      <c r="F51" s="164">
        <f t="shared" ca="1" si="9"/>
        <v>22</v>
      </c>
      <c r="G51" s="164">
        <f t="shared" ca="1" si="9"/>
        <v>20</v>
      </c>
      <c r="H51" s="164">
        <f t="shared" ca="1" si="9"/>
        <v>13</v>
      </c>
      <c r="I51" s="164">
        <f t="shared" ca="1" si="9"/>
        <v>16</v>
      </c>
      <c r="J51" s="164">
        <f t="shared" ca="1" si="9"/>
        <v>24</v>
      </c>
      <c r="K51" s="164">
        <f t="shared" ca="1" si="9"/>
        <v>18</v>
      </c>
      <c r="L51" s="164">
        <f t="shared" ca="1" si="9"/>
        <v>19</v>
      </c>
      <c r="M51" s="164">
        <f t="shared" ca="1" si="9"/>
        <v>15</v>
      </c>
    </row>
    <row r="52" spans="2:13" ht="26.25" thickTop="1" thickBot="1" x14ac:dyDescent="0.5">
      <c r="B52" s="274"/>
      <c r="C52" s="195" t="s">
        <v>326</v>
      </c>
      <c r="D52" s="164">
        <f t="shared" ca="1" si="9"/>
        <v>25</v>
      </c>
      <c r="E52" s="164">
        <f t="shared" ca="1" si="9"/>
        <v>24</v>
      </c>
      <c r="F52" s="164">
        <f t="shared" ca="1" si="9"/>
        <v>20</v>
      </c>
      <c r="G52" s="164">
        <f t="shared" ca="1" si="9"/>
        <v>19</v>
      </c>
      <c r="H52" s="164">
        <f t="shared" ca="1" si="9"/>
        <v>25</v>
      </c>
      <c r="I52" s="164">
        <f t="shared" ca="1" si="9"/>
        <v>19</v>
      </c>
      <c r="J52" s="164">
        <f t="shared" ca="1" si="9"/>
        <v>25</v>
      </c>
      <c r="K52" s="164">
        <f t="shared" ca="1" si="9"/>
        <v>18</v>
      </c>
      <c r="L52" s="164">
        <f t="shared" ca="1" si="9"/>
        <v>22</v>
      </c>
      <c r="M52" s="164">
        <f t="shared" ca="1" si="9"/>
        <v>22</v>
      </c>
    </row>
    <row r="53" spans="2:13" ht="26.25" thickTop="1" thickBot="1" x14ac:dyDescent="0.5">
      <c r="B53" s="273">
        <v>25</v>
      </c>
      <c r="C53" s="195" t="s">
        <v>325</v>
      </c>
      <c r="D53" s="164">
        <f t="shared" ca="1" si="9"/>
        <v>24</v>
      </c>
      <c r="E53" s="164">
        <f t="shared" ca="1" si="9"/>
        <v>21</v>
      </c>
      <c r="F53" s="164">
        <f t="shared" ca="1" si="9"/>
        <v>17</v>
      </c>
      <c r="G53" s="164">
        <f t="shared" ca="1" si="9"/>
        <v>15</v>
      </c>
      <c r="H53" s="164">
        <f t="shared" ca="1" si="9"/>
        <v>22</v>
      </c>
      <c r="I53" s="164">
        <f t="shared" ca="1" si="9"/>
        <v>22</v>
      </c>
      <c r="J53" s="164">
        <f t="shared" ca="1" si="9"/>
        <v>19</v>
      </c>
      <c r="K53" s="164">
        <f t="shared" ca="1" si="9"/>
        <v>21</v>
      </c>
      <c r="L53" s="164">
        <f t="shared" ca="1" si="9"/>
        <v>17</v>
      </c>
      <c r="M53" s="164">
        <f t="shared" ca="1" si="9"/>
        <v>16</v>
      </c>
    </row>
    <row r="54" spans="2:13" ht="26.25" thickTop="1" thickBot="1" x14ac:dyDescent="0.5">
      <c r="B54" s="274"/>
      <c r="C54" s="195" t="s">
        <v>326</v>
      </c>
      <c r="D54" s="164">
        <f t="shared" ca="1" si="9"/>
        <v>20</v>
      </c>
      <c r="E54" s="164">
        <f t="shared" ca="1" si="9"/>
        <v>23</v>
      </c>
      <c r="F54" s="164">
        <f t="shared" ca="1" si="9"/>
        <v>15</v>
      </c>
      <c r="G54" s="164">
        <f t="shared" ca="1" si="9"/>
        <v>15</v>
      </c>
      <c r="H54" s="164">
        <f t="shared" ca="1" si="9"/>
        <v>18</v>
      </c>
      <c r="I54" s="164">
        <f t="shared" ca="1" si="9"/>
        <v>14</v>
      </c>
      <c r="J54" s="164">
        <f t="shared" ca="1" si="9"/>
        <v>18</v>
      </c>
      <c r="K54" s="164">
        <f t="shared" ca="1" si="9"/>
        <v>23</v>
      </c>
      <c r="L54" s="164">
        <f t="shared" ca="1" si="9"/>
        <v>21</v>
      </c>
      <c r="M54" s="164">
        <f t="shared" ca="1" si="9"/>
        <v>24</v>
      </c>
    </row>
    <row r="55" spans="2:13" ht="26.25" thickTop="1" thickBot="1" x14ac:dyDescent="0.5">
      <c r="B55" s="273">
        <v>26</v>
      </c>
      <c r="C55" s="195" t="s">
        <v>325</v>
      </c>
      <c r="D55" s="164">
        <f t="shared" ca="1" si="9"/>
        <v>21</v>
      </c>
      <c r="E55" s="164">
        <f t="shared" ca="1" si="9"/>
        <v>25</v>
      </c>
      <c r="F55" s="164">
        <f t="shared" ca="1" si="9"/>
        <v>19</v>
      </c>
      <c r="G55" s="164">
        <f t="shared" ca="1" si="9"/>
        <v>14</v>
      </c>
      <c r="H55" s="164">
        <f t="shared" ca="1" si="9"/>
        <v>21</v>
      </c>
      <c r="I55" s="164">
        <f t="shared" ca="1" si="9"/>
        <v>18</v>
      </c>
      <c r="J55" s="164">
        <f t="shared" ca="1" si="9"/>
        <v>15</v>
      </c>
      <c r="K55" s="164">
        <f t="shared" ca="1" si="9"/>
        <v>22</v>
      </c>
      <c r="L55" s="164">
        <f t="shared" ca="1" si="9"/>
        <v>13</v>
      </c>
      <c r="M55" s="164">
        <f t="shared" ca="1" si="9"/>
        <v>15</v>
      </c>
    </row>
    <row r="56" spans="2:13" ht="26.25" thickTop="1" thickBot="1" x14ac:dyDescent="0.5">
      <c r="B56" s="274"/>
      <c r="C56" s="195" t="s">
        <v>326</v>
      </c>
      <c r="D56" s="164">
        <f t="shared" ca="1" si="9"/>
        <v>23</v>
      </c>
      <c r="E56" s="164">
        <f t="shared" ca="1" si="9"/>
        <v>22</v>
      </c>
      <c r="F56" s="164">
        <f t="shared" ca="1" si="9"/>
        <v>19</v>
      </c>
      <c r="G56" s="164">
        <f t="shared" ca="1" si="9"/>
        <v>21</v>
      </c>
      <c r="H56" s="164">
        <f t="shared" ca="1" si="9"/>
        <v>24</v>
      </c>
      <c r="I56" s="164">
        <f t="shared" ca="1" si="9"/>
        <v>23</v>
      </c>
      <c r="J56" s="164">
        <f t="shared" ca="1" si="9"/>
        <v>18</v>
      </c>
      <c r="K56" s="164">
        <f t="shared" ca="1" si="9"/>
        <v>21</v>
      </c>
      <c r="L56" s="164">
        <f t="shared" ca="1" si="9"/>
        <v>20</v>
      </c>
      <c r="M56" s="164">
        <f t="shared" ca="1" si="9"/>
        <v>14</v>
      </c>
    </row>
    <row r="57" spans="2:13" ht="21" thickTop="1" x14ac:dyDescent="0.3"/>
  </sheetData>
  <mergeCells count="39">
    <mergeCell ref="O25:O26"/>
    <mergeCell ref="O27:O28"/>
    <mergeCell ref="O29:O30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B53:B54"/>
    <mergeCell ref="B55:B56"/>
    <mergeCell ref="B41:B42"/>
    <mergeCell ref="B43:B44"/>
    <mergeCell ref="B45:B46"/>
    <mergeCell ref="B47:B48"/>
    <mergeCell ref="B49:B50"/>
    <mergeCell ref="B51:B52"/>
    <mergeCell ref="B39:B40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15:B16"/>
    <mergeCell ref="B5:B6"/>
    <mergeCell ref="B7:B8"/>
    <mergeCell ref="B9:B10"/>
    <mergeCell ref="B11:B12"/>
    <mergeCell ref="B13:B14"/>
  </mergeCells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8129" r:id="rId4">
          <objectPr defaultSize="0" autoPict="0" r:id="rId5">
            <anchor moveWithCells="1" sizeWithCells="1">
              <from>
                <xdr:col>0</xdr:col>
                <xdr:colOff>600075</xdr:colOff>
                <xdr:row>0</xdr:row>
                <xdr:rowOff>142875</xdr:rowOff>
              </from>
              <to>
                <xdr:col>4</xdr:col>
                <xdr:colOff>171450</xdr:colOff>
                <xdr:row>2</xdr:row>
                <xdr:rowOff>114300</xdr:rowOff>
              </to>
            </anchor>
          </objectPr>
        </oleObject>
      </mc:Choice>
      <mc:Fallback>
        <oleObject progId="Equation.3" shapeId="48129" r:id="rId4"/>
      </mc:Fallback>
    </mc:AlternateContent>
    <mc:AlternateContent xmlns:mc="http://schemas.openxmlformats.org/markup-compatibility/2006">
      <mc:Choice Requires="x14">
        <oleObject progId="Equation.3" shapeId="48130" r:id="rId6">
          <objectPr defaultSize="0" autoPict="0" r:id="rId7">
            <anchor moveWithCells="1" sizeWithCells="1">
              <from>
                <xdr:col>4</xdr:col>
                <xdr:colOff>485775</xdr:colOff>
                <xdr:row>0</xdr:row>
                <xdr:rowOff>247650</xdr:rowOff>
              </from>
              <to>
                <xdr:col>8</xdr:col>
                <xdr:colOff>238125</xdr:colOff>
                <xdr:row>2</xdr:row>
                <xdr:rowOff>57150</xdr:rowOff>
              </to>
            </anchor>
          </objectPr>
        </oleObject>
      </mc:Choice>
      <mc:Fallback>
        <oleObject progId="Equation.3" shapeId="48130" r:id="rId6"/>
      </mc:Fallback>
    </mc:AlternateContent>
    <mc:AlternateContent xmlns:mc="http://schemas.openxmlformats.org/markup-compatibility/2006">
      <mc:Choice Requires="x14">
        <oleObject progId="Equation.3" shapeId="48131" r:id="rId8">
          <objectPr defaultSize="0" autoPict="0" r:id="rId5">
            <anchor moveWithCells="1" sizeWithCells="1">
              <from>
                <xdr:col>14</xdr:col>
                <xdr:colOff>47625</xdr:colOff>
                <xdr:row>0</xdr:row>
                <xdr:rowOff>114300</xdr:rowOff>
              </from>
              <to>
                <xdr:col>17</xdr:col>
                <xdr:colOff>9525</xdr:colOff>
                <xdr:row>2</xdr:row>
                <xdr:rowOff>57150</xdr:rowOff>
              </to>
            </anchor>
          </objectPr>
        </oleObject>
      </mc:Choice>
      <mc:Fallback>
        <oleObject progId="Equation.3" shapeId="48131" r:id="rId8"/>
      </mc:Fallback>
    </mc:AlternateContent>
    <mc:AlternateContent xmlns:mc="http://schemas.openxmlformats.org/markup-compatibility/2006">
      <mc:Choice Requires="x14">
        <oleObject progId="Equation.3" shapeId="48132" r:id="rId9">
          <objectPr defaultSize="0" autoPict="0" r:id="rId7">
            <anchor moveWithCells="1" sizeWithCells="1">
              <from>
                <xdr:col>17</xdr:col>
                <xdr:colOff>209550</xdr:colOff>
                <xdr:row>0</xdr:row>
                <xdr:rowOff>161925</xdr:rowOff>
              </from>
              <to>
                <xdr:col>20</xdr:col>
                <xdr:colOff>209550</xdr:colOff>
                <xdr:row>1</xdr:row>
                <xdr:rowOff>342900</xdr:rowOff>
              </to>
            </anchor>
          </objectPr>
        </oleObject>
      </mc:Choice>
      <mc:Fallback>
        <oleObject progId="Equation.3" shapeId="48132" r:id="rId9"/>
      </mc:Fallback>
    </mc:AlternateContent>
  </oleObjec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BT137"/>
  <sheetViews>
    <sheetView topLeftCell="AZ1" zoomScale="90" zoomScaleNormal="90" workbookViewId="0">
      <selection activeCell="BA13" sqref="BA2:BT13"/>
    </sheetView>
  </sheetViews>
  <sheetFormatPr defaultRowHeight="15" x14ac:dyDescent="0.25"/>
  <cols>
    <col min="4" max="4" width="13.7109375" bestFit="1" customWidth="1"/>
    <col min="7" max="7" width="13" customWidth="1"/>
    <col min="51" max="51" width="3.85546875" customWidth="1"/>
  </cols>
  <sheetData>
    <row r="2" spans="3:72" ht="31.5" x14ac:dyDescent="0.55000000000000004">
      <c r="C2" s="191" t="s">
        <v>330</v>
      </c>
      <c r="D2" s="17"/>
      <c r="E2" s="17"/>
      <c r="F2" s="191"/>
      <c r="G2" s="17"/>
      <c r="I2" s="191" t="s">
        <v>330</v>
      </c>
      <c r="J2" s="17"/>
      <c r="K2" s="17"/>
      <c r="L2" s="191"/>
      <c r="M2" s="17"/>
      <c r="AD2" s="191" t="s">
        <v>337</v>
      </c>
      <c r="AI2" s="191" t="s">
        <v>337</v>
      </c>
      <c r="AN2" s="191" t="s">
        <v>337</v>
      </c>
      <c r="AS2" s="191" t="s">
        <v>343</v>
      </c>
      <c r="BA2" s="191" t="s">
        <v>343</v>
      </c>
      <c r="BH2" s="191" t="s">
        <v>343</v>
      </c>
      <c r="BO2" s="191" t="s">
        <v>343</v>
      </c>
    </row>
    <row r="3" spans="3:72" ht="32.25" thickBot="1" x14ac:dyDescent="0.6">
      <c r="C3" s="191" t="s">
        <v>331</v>
      </c>
      <c r="D3" s="17"/>
      <c r="E3" s="17"/>
      <c r="F3" s="191"/>
      <c r="G3" s="17"/>
      <c r="I3" s="191" t="s">
        <v>331</v>
      </c>
      <c r="J3" s="17"/>
      <c r="K3" s="17"/>
      <c r="L3" s="191"/>
      <c r="M3" s="17"/>
      <c r="AE3" s="191" t="s">
        <v>338</v>
      </c>
      <c r="AJ3" s="191" t="s">
        <v>338</v>
      </c>
      <c r="AO3" s="191" t="s">
        <v>338</v>
      </c>
      <c r="AT3" s="191" t="s">
        <v>344</v>
      </c>
      <c r="AU3" s="191"/>
      <c r="AV3" s="191"/>
      <c r="BB3" s="191" t="s">
        <v>345</v>
      </c>
      <c r="BC3" s="191"/>
      <c r="BD3" s="191"/>
      <c r="BI3" s="191" t="s">
        <v>345</v>
      </c>
      <c r="BJ3" s="191"/>
      <c r="BK3" s="191"/>
      <c r="BP3" s="191" t="s">
        <v>345</v>
      </c>
      <c r="BQ3" s="191"/>
      <c r="BR3" s="191"/>
    </row>
    <row r="4" spans="3:72" ht="69.75" customHeight="1" thickTop="1" thickBot="1" x14ac:dyDescent="0.3">
      <c r="C4" s="186" t="s">
        <v>204</v>
      </c>
      <c r="D4" s="165" t="s">
        <v>276</v>
      </c>
      <c r="E4" s="187" t="s">
        <v>328</v>
      </c>
      <c r="F4" s="197" t="s">
        <v>329</v>
      </c>
      <c r="G4" s="172" t="s">
        <v>306</v>
      </c>
      <c r="I4" s="186" t="s">
        <v>204</v>
      </c>
      <c r="J4" s="165" t="s">
        <v>276</v>
      </c>
      <c r="K4" s="187" t="s">
        <v>328</v>
      </c>
      <c r="L4" s="197" t="s">
        <v>329</v>
      </c>
      <c r="M4" s="172" t="s">
        <v>306</v>
      </c>
      <c r="P4" s="186" t="s">
        <v>204</v>
      </c>
      <c r="Q4" s="165" t="s">
        <v>276</v>
      </c>
      <c r="R4" s="165" t="s">
        <v>277</v>
      </c>
      <c r="S4" s="197" t="s">
        <v>332</v>
      </c>
      <c r="T4" s="197" t="s">
        <v>333</v>
      </c>
      <c r="U4" s="172" t="s">
        <v>306</v>
      </c>
      <c r="W4" s="186" t="s">
        <v>204</v>
      </c>
      <c r="X4" s="165" t="s">
        <v>276</v>
      </c>
      <c r="Y4" s="165" t="s">
        <v>277</v>
      </c>
      <c r="Z4" s="197" t="s">
        <v>332</v>
      </c>
      <c r="AA4" s="197" t="s">
        <v>333</v>
      </c>
      <c r="AB4" s="172" t="s">
        <v>306</v>
      </c>
      <c r="AD4" s="186" t="s">
        <v>204</v>
      </c>
      <c r="AE4" s="165" t="s">
        <v>276</v>
      </c>
      <c r="AF4" s="165" t="s">
        <v>277</v>
      </c>
      <c r="AG4" s="172" t="s">
        <v>306</v>
      </c>
      <c r="AI4" s="186" t="s">
        <v>204</v>
      </c>
      <c r="AJ4" s="165" t="s">
        <v>276</v>
      </c>
      <c r="AK4" s="165" t="s">
        <v>277</v>
      </c>
      <c r="AL4" s="172" t="s">
        <v>306</v>
      </c>
      <c r="AN4" s="186" t="s">
        <v>204</v>
      </c>
      <c r="AO4" s="165" t="s">
        <v>276</v>
      </c>
      <c r="AP4" s="165" t="s">
        <v>277</v>
      </c>
      <c r="AQ4" s="172" t="s">
        <v>306</v>
      </c>
      <c r="AS4" s="186" t="s">
        <v>204</v>
      </c>
      <c r="AT4" s="165" t="s">
        <v>339</v>
      </c>
      <c r="AU4" s="165" t="s">
        <v>340</v>
      </c>
      <c r="AV4" s="165" t="s">
        <v>341</v>
      </c>
      <c r="AW4" s="165" t="s">
        <v>342</v>
      </c>
      <c r="AX4" s="172" t="s">
        <v>306</v>
      </c>
      <c r="BA4" s="186" t="s">
        <v>204</v>
      </c>
      <c r="BB4" s="165" t="s">
        <v>339</v>
      </c>
      <c r="BC4" s="165" t="s">
        <v>340</v>
      </c>
      <c r="BD4" s="165" t="s">
        <v>341</v>
      </c>
      <c r="BE4" s="165" t="s">
        <v>342</v>
      </c>
      <c r="BF4" s="172" t="s">
        <v>306</v>
      </c>
      <c r="BH4" s="186" t="s">
        <v>204</v>
      </c>
      <c r="BI4" s="165" t="s">
        <v>339</v>
      </c>
      <c r="BJ4" s="165" t="s">
        <v>340</v>
      </c>
      <c r="BK4" s="165" t="s">
        <v>341</v>
      </c>
      <c r="BL4" s="165" t="s">
        <v>342</v>
      </c>
      <c r="BM4" s="172" t="s">
        <v>306</v>
      </c>
      <c r="BO4" s="186" t="s">
        <v>204</v>
      </c>
      <c r="BP4" s="165" t="s">
        <v>339</v>
      </c>
      <c r="BQ4" s="165" t="s">
        <v>340</v>
      </c>
      <c r="BR4" s="165" t="s">
        <v>341</v>
      </c>
      <c r="BS4" s="165" t="s">
        <v>342</v>
      </c>
      <c r="BT4" s="172" t="s">
        <v>306</v>
      </c>
    </row>
    <row r="5" spans="3:72" ht="20.25" thickTop="1" thickBot="1" x14ac:dyDescent="0.35">
      <c r="C5" s="162">
        <v>1</v>
      </c>
      <c r="D5" s="164">
        <f ca="1">RANDBETWEEN(8,12)</f>
        <v>9</v>
      </c>
      <c r="E5" s="164">
        <f ca="1">RANDBETWEEN(4,7)</f>
        <v>6</v>
      </c>
      <c r="F5" s="189">
        <f ca="1">0.4*RAND()+6</f>
        <v>6.250181836117342</v>
      </c>
      <c r="G5" s="169">
        <v>0.1</v>
      </c>
      <c r="I5" s="163">
        <v>14</v>
      </c>
      <c r="J5" s="164">
        <f t="shared" ref="J5:J17" ca="1" si="0">RANDBETWEEN(8,12)</f>
        <v>8</v>
      </c>
      <c r="K5" s="164">
        <f t="shared" ref="K5:K17" ca="1" si="1">RANDBETWEEN(4,7)</f>
        <v>4</v>
      </c>
      <c r="L5" s="189">
        <f t="shared" ref="L5:L17" ca="1" si="2">0.4*RAND()+6</f>
        <v>6.0245735733797146</v>
      </c>
      <c r="M5" s="169">
        <v>0.05</v>
      </c>
      <c r="P5" s="162">
        <v>1</v>
      </c>
      <c r="Q5" s="164">
        <f ca="1">RANDBETWEEN(5,9)</f>
        <v>7</v>
      </c>
      <c r="R5" s="164">
        <f ca="1">RANDBETWEEN(3,7)</f>
        <v>4</v>
      </c>
      <c r="S5" s="189">
        <f ca="1">0.6*RAND()+6</f>
        <v>6.0856518485106079</v>
      </c>
      <c r="T5" s="189">
        <f ca="1">1*RAND()+9.8</f>
        <v>10.220941644338266</v>
      </c>
      <c r="U5" s="169">
        <v>0.1</v>
      </c>
      <c r="W5" s="163">
        <v>14</v>
      </c>
      <c r="X5" s="164">
        <f t="shared" ref="X5:X17" ca="1" si="3">RANDBETWEEN(5,9)</f>
        <v>6</v>
      </c>
      <c r="Y5" s="164">
        <f t="shared" ref="Y5:Y17" ca="1" si="4">RANDBETWEEN(3,7)</f>
        <v>7</v>
      </c>
      <c r="Z5" s="189">
        <f t="shared" ref="Z5:Z17" ca="1" si="5">0.6*RAND()+6</f>
        <v>6.0201969264551822</v>
      </c>
      <c r="AA5" s="189">
        <f t="shared" ref="AA5:AA17" ca="1" si="6">1*RAND()+9.8</f>
        <v>10.377367153041053</v>
      </c>
      <c r="AB5" s="169">
        <v>0.05</v>
      </c>
      <c r="AD5" s="162">
        <v>1</v>
      </c>
      <c r="AE5" s="164">
        <f ca="1">RANDBETWEEN(800,1000)</f>
        <v>985</v>
      </c>
      <c r="AF5" s="164">
        <f ca="1">RANDBETWEEN(500,777)</f>
        <v>764</v>
      </c>
      <c r="AG5" s="169">
        <v>0.1</v>
      </c>
      <c r="AI5" s="163">
        <v>14</v>
      </c>
      <c r="AJ5" s="164">
        <f t="shared" ref="AJ5:AJ17" ca="1" si="7">RANDBETWEEN(800,1000)</f>
        <v>998</v>
      </c>
      <c r="AK5" s="164">
        <f t="shared" ref="AK5:AK17" ca="1" si="8">RANDBETWEEN(500,777)</f>
        <v>747</v>
      </c>
      <c r="AL5" s="169">
        <v>0.05</v>
      </c>
      <c r="AN5" s="162">
        <v>21</v>
      </c>
      <c r="AO5" s="164">
        <f t="shared" ref="AO5:AO10" ca="1" si="9">RANDBETWEEN(800,1000)</f>
        <v>982</v>
      </c>
      <c r="AP5" s="164">
        <f t="shared" ref="AP5:AP10" ca="1" si="10">RANDBETWEEN(500,777)</f>
        <v>599</v>
      </c>
      <c r="AQ5" s="169">
        <v>0.05</v>
      </c>
      <c r="AS5" s="162">
        <v>1</v>
      </c>
      <c r="AT5" s="164">
        <f ca="1">RANDBETWEEN(180,220)</f>
        <v>215</v>
      </c>
      <c r="AU5" s="164">
        <f ca="1">RANDBETWEEN(280,320)</f>
        <v>312</v>
      </c>
      <c r="AV5" s="164">
        <f ca="1">RANDBETWEEN(10,18)</f>
        <v>16</v>
      </c>
      <c r="AW5" s="164">
        <f ca="1">RANDBETWEEN(24,30)</f>
        <v>29</v>
      </c>
      <c r="AX5" s="169">
        <v>0.1</v>
      </c>
      <c r="BA5" s="162">
        <v>1</v>
      </c>
      <c r="BB5" s="164">
        <f ca="1">RANDBETWEEN(48,52)</f>
        <v>50</v>
      </c>
      <c r="BC5" s="164">
        <f ca="1">RANDBETWEEN(48,52)</f>
        <v>49</v>
      </c>
      <c r="BD5" s="164">
        <f ca="1">RANDBETWEEN(37,43)</f>
        <v>42</v>
      </c>
      <c r="BE5" s="164">
        <f ca="1">RANDBETWEEN(34,40)</f>
        <v>34</v>
      </c>
      <c r="BF5" s="169">
        <v>0.1</v>
      </c>
      <c r="BH5" s="163">
        <v>10</v>
      </c>
      <c r="BI5" s="164">
        <f t="shared" ref="BI5:BJ13" ca="1" si="11">RANDBETWEEN(48,52)</f>
        <v>50</v>
      </c>
      <c r="BJ5" s="164">
        <f t="shared" ca="1" si="11"/>
        <v>52</v>
      </c>
      <c r="BK5" s="164">
        <f t="shared" ref="BK5:BK13" ca="1" si="12">RANDBETWEEN(37,43)</f>
        <v>37</v>
      </c>
      <c r="BL5" s="164">
        <f t="shared" ref="BL5:BL13" ca="1" si="13">RANDBETWEEN(34,40)</f>
        <v>35</v>
      </c>
      <c r="BM5" s="169">
        <v>0.1</v>
      </c>
      <c r="BO5" s="162">
        <v>19</v>
      </c>
      <c r="BP5" s="164">
        <f t="shared" ref="BP5:BQ12" ca="1" si="14">RANDBETWEEN(48,52)</f>
        <v>52</v>
      </c>
      <c r="BQ5" s="164">
        <f t="shared" ca="1" si="14"/>
        <v>51</v>
      </c>
      <c r="BR5" s="164">
        <f t="shared" ref="BR5:BR12" ca="1" si="15">RANDBETWEEN(37,43)</f>
        <v>37</v>
      </c>
      <c r="BS5" s="164">
        <f t="shared" ref="BS5:BS12" ca="1" si="16">RANDBETWEEN(34,40)</f>
        <v>35</v>
      </c>
      <c r="BT5" s="169">
        <v>0.05</v>
      </c>
    </row>
    <row r="6" spans="3:72" ht="20.25" thickTop="1" thickBot="1" x14ac:dyDescent="0.35">
      <c r="C6" s="163">
        <v>2</v>
      </c>
      <c r="D6" s="164">
        <f t="shared" ref="D6:D30" ca="1" si="17">RANDBETWEEN(8,12)</f>
        <v>9</v>
      </c>
      <c r="E6" s="164">
        <f t="shared" ref="E6:E30" ca="1" si="18">RANDBETWEEN(4,7)</f>
        <v>4</v>
      </c>
      <c r="F6" s="189">
        <f t="shared" ref="F6:F30" ca="1" si="19">0.4*RAND()+6</f>
        <v>6.0901631887249534</v>
      </c>
      <c r="G6" s="169">
        <v>0.1</v>
      </c>
      <c r="I6" s="162">
        <v>15</v>
      </c>
      <c r="J6" s="164">
        <f t="shared" ca="1" si="0"/>
        <v>12</v>
      </c>
      <c r="K6" s="164">
        <f t="shared" ca="1" si="1"/>
        <v>7</v>
      </c>
      <c r="L6" s="189">
        <f t="shared" ca="1" si="2"/>
        <v>6.3211960834872967</v>
      </c>
      <c r="M6" s="169">
        <v>0.05</v>
      </c>
      <c r="P6" s="163">
        <v>2</v>
      </c>
      <c r="Q6" s="164">
        <f t="shared" ref="Q6:Q30" ca="1" si="20">RANDBETWEEN(5,9)</f>
        <v>9</v>
      </c>
      <c r="R6" s="164">
        <f t="shared" ref="R6:R30" ca="1" si="21">RANDBETWEEN(3,7)</f>
        <v>7</v>
      </c>
      <c r="S6" s="189">
        <f t="shared" ref="S6:S30" ca="1" si="22">0.6*RAND()+6</f>
        <v>6.2130501122008708</v>
      </c>
      <c r="T6" s="189">
        <f t="shared" ref="T6:T30" ca="1" si="23">1*RAND()+9.8</f>
        <v>10.613605727456509</v>
      </c>
      <c r="U6" s="169">
        <v>0.1</v>
      </c>
      <c r="W6" s="162">
        <v>15</v>
      </c>
      <c r="X6" s="164">
        <f t="shared" ca="1" si="3"/>
        <v>6</v>
      </c>
      <c r="Y6" s="164">
        <f t="shared" ca="1" si="4"/>
        <v>7</v>
      </c>
      <c r="Z6" s="189">
        <f t="shared" ca="1" si="5"/>
        <v>6.3362784913178558</v>
      </c>
      <c r="AA6" s="189">
        <f t="shared" ca="1" si="6"/>
        <v>9.8600061258178275</v>
      </c>
      <c r="AB6" s="169">
        <v>0.05</v>
      </c>
      <c r="AD6" s="163">
        <v>2</v>
      </c>
      <c r="AE6" s="164">
        <f t="shared" ref="AE6:AE30" ca="1" si="24">RANDBETWEEN(800,1000)</f>
        <v>937</v>
      </c>
      <c r="AF6" s="164">
        <f t="shared" ref="AF6:AF30" ca="1" si="25">RANDBETWEEN(500,777)</f>
        <v>626</v>
      </c>
      <c r="AG6" s="169">
        <v>0.1</v>
      </c>
      <c r="AI6" s="162">
        <v>15</v>
      </c>
      <c r="AJ6" s="164">
        <f t="shared" ca="1" si="7"/>
        <v>987</v>
      </c>
      <c r="AK6" s="164">
        <f t="shared" ca="1" si="8"/>
        <v>602</v>
      </c>
      <c r="AL6" s="169">
        <v>0.05</v>
      </c>
      <c r="AN6" s="163">
        <v>22</v>
      </c>
      <c r="AO6" s="164">
        <f t="shared" ca="1" si="9"/>
        <v>978</v>
      </c>
      <c r="AP6" s="164">
        <f t="shared" ca="1" si="10"/>
        <v>593</v>
      </c>
      <c r="AQ6" s="169">
        <v>0.05</v>
      </c>
      <c r="AS6" s="163">
        <v>2</v>
      </c>
      <c r="AT6" s="164">
        <f t="shared" ref="AT6:AT30" ca="1" si="26">RANDBETWEEN(180,220)</f>
        <v>196</v>
      </c>
      <c r="AU6" s="164">
        <f t="shared" ref="AU6:AU30" ca="1" si="27">RANDBETWEEN(280,320)</f>
        <v>297</v>
      </c>
      <c r="AV6" s="164">
        <f t="shared" ref="AV6:AV30" ca="1" si="28">RANDBETWEEN(10,18)</f>
        <v>16</v>
      </c>
      <c r="AW6" s="164">
        <f t="shared" ref="AW6:AW30" ca="1" si="29">RANDBETWEEN(24,30)</f>
        <v>25</v>
      </c>
      <c r="AX6" s="169">
        <v>0.1</v>
      </c>
      <c r="BA6" s="163">
        <v>2</v>
      </c>
      <c r="BB6" s="164">
        <f t="shared" ref="BB6:BC30" ca="1" si="30">RANDBETWEEN(48,52)</f>
        <v>52</v>
      </c>
      <c r="BC6" s="164">
        <f t="shared" ca="1" si="30"/>
        <v>51</v>
      </c>
      <c r="BD6" s="164">
        <f t="shared" ref="BD6:BD30" ca="1" si="31">RANDBETWEEN(37,43)</f>
        <v>40</v>
      </c>
      <c r="BE6" s="164">
        <f t="shared" ref="BE6:BE30" ca="1" si="32">RANDBETWEEN(34,40)</f>
        <v>39</v>
      </c>
      <c r="BF6" s="169">
        <v>0.1</v>
      </c>
      <c r="BH6" s="162">
        <v>11</v>
      </c>
      <c r="BI6" s="164">
        <f t="shared" ca="1" si="11"/>
        <v>48</v>
      </c>
      <c r="BJ6" s="164">
        <f t="shared" ca="1" si="11"/>
        <v>50</v>
      </c>
      <c r="BK6" s="164">
        <f t="shared" ca="1" si="12"/>
        <v>43</v>
      </c>
      <c r="BL6" s="164">
        <f t="shared" ca="1" si="13"/>
        <v>39</v>
      </c>
      <c r="BM6" s="169">
        <v>0.1</v>
      </c>
      <c r="BO6" s="163">
        <v>20</v>
      </c>
      <c r="BP6" s="164">
        <f t="shared" ca="1" si="14"/>
        <v>51</v>
      </c>
      <c r="BQ6" s="164">
        <f t="shared" ca="1" si="14"/>
        <v>50</v>
      </c>
      <c r="BR6" s="164">
        <f t="shared" ca="1" si="15"/>
        <v>41</v>
      </c>
      <c r="BS6" s="164">
        <f t="shared" ca="1" si="16"/>
        <v>35</v>
      </c>
      <c r="BT6" s="169">
        <v>0.05</v>
      </c>
    </row>
    <row r="7" spans="3:72" ht="20.25" thickTop="1" thickBot="1" x14ac:dyDescent="0.35">
      <c r="C7" s="162">
        <v>3</v>
      </c>
      <c r="D7" s="164">
        <f t="shared" ca="1" si="17"/>
        <v>10</v>
      </c>
      <c r="E7" s="164">
        <f t="shared" ca="1" si="18"/>
        <v>7</v>
      </c>
      <c r="F7" s="189">
        <f t="shared" ca="1" si="19"/>
        <v>6.3110020883054538</v>
      </c>
      <c r="G7" s="169">
        <v>0.1</v>
      </c>
      <c r="I7" s="163">
        <v>16</v>
      </c>
      <c r="J7" s="164">
        <f t="shared" ca="1" si="0"/>
        <v>9</v>
      </c>
      <c r="K7" s="164">
        <f t="shared" ca="1" si="1"/>
        <v>4</v>
      </c>
      <c r="L7" s="189">
        <f t="shared" ca="1" si="2"/>
        <v>6.13048802902013</v>
      </c>
      <c r="M7" s="169">
        <v>0.05</v>
      </c>
      <c r="P7" s="162">
        <v>3</v>
      </c>
      <c r="Q7" s="164">
        <f t="shared" ca="1" si="20"/>
        <v>6</v>
      </c>
      <c r="R7" s="164">
        <f t="shared" ca="1" si="21"/>
        <v>4</v>
      </c>
      <c r="S7" s="189">
        <f t="shared" ca="1" si="22"/>
        <v>6.2250656639604829</v>
      </c>
      <c r="T7" s="189">
        <f t="shared" ca="1" si="23"/>
        <v>10.443257750888657</v>
      </c>
      <c r="U7" s="169">
        <v>0.1</v>
      </c>
      <c r="W7" s="163">
        <v>16</v>
      </c>
      <c r="X7" s="164">
        <f t="shared" ca="1" si="3"/>
        <v>9</v>
      </c>
      <c r="Y7" s="164">
        <f t="shared" ca="1" si="4"/>
        <v>7</v>
      </c>
      <c r="Z7" s="189">
        <f t="shared" ca="1" si="5"/>
        <v>6.2378226946201183</v>
      </c>
      <c r="AA7" s="189">
        <f t="shared" ca="1" si="6"/>
        <v>10.235921738923137</v>
      </c>
      <c r="AB7" s="169">
        <v>0.05</v>
      </c>
      <c r="AD7" s="162">
        <v>3</v>
      </c>
      <c r="AE7" s="164">
        <f t="shared" ca="1" si="24"/>
        <v>990</v>
      </c>
      <c r="AF7" s="164">
        <f t="shared" ca="1" si="25"/>
        <v>725</v>
      </c>
      <c r="AG7" s="169">
        <v>0.1</v>
      </c>
      <c r="AI7" s="163">
        <v>16</v>
      </c>
      <c r="AJ7" s="164">
        <f t="shared" ca="1" si="7"/>
        <v>995</v>
      </c>
      <c r="AK7" s="164">
        <f t="shared" ca="1" si="8"/>
        <v>776</v>
      </c>
      <c r="AL7" s="169">
        <v>0.05</v>
      </c>
      <c r="AN7" s="162">
        <v>23</v>
      </c>
      <c r="AO7" s="164">
        <f t="shared" ca="1" si="9"/>
        <v>851</v>
      </c>
      <c r="AP7" s="164">
        <f t="shared" ca="1" si="10"/>
        <v>515</v>
      </c>
      <c r="AQ7" s="169">
        <v>0.05</v>
      </c>
      <c r="AS7" s="162">
        <v>3</v>
      </c>
      <c r="AT7" s="164">
        <f t="shared" ca="1" si="26"/>
        <v>202</v>
      </c>
      <c r="AU7" s="164">
        <f t="shared" ca="1" si="27"/>
        <v>299</v>
      </c>
      <c r="AV7" s="164">
        <f t="shared" ca="1" si="28"/>
        <v>10</v>
      </c>
      <c r="AW7" s="164">
        <f t="shared" ca="1" si="29"/>
        <v>26</v>
      </c>
      <c r="AX7" s="169">
        <v>0.1</v>
      </c>
      <c r="BA7" s="162">
        <v>3</v>
      </c>
      <c r="BB7" s="164">
        <f t="shared" ca="1" si="30"/>
        <v>52</v>
      </c>
      <c r="BC7" s="164">
        <f t="shared" ca="1" si="30"/>
        <v>52</v>
      </c>
      <c r="BD7" s="164">
        <f t="shared" ca="1" si="31"/>
        <v>41</v>
      </c>
      <c r="BE7" s="164">
        <f t="shared" ca="1" si="32"/>
        <v>38</v>
      </c>
      <c r="BF7" s="169">
        <v>0.1</v>
      </c>
      <c r="BH7" s="163">
        <v>12</v>
      </c>
      <c r="BI7" s="164">
        <f t="shared" ca="1" si="11"/>
        <v>51</v>
      </c>
      <c r="BJ7" s="164">
        <f t="shared" ca="1" si="11"/>
        <v>48</v>
      </c>
      <c r="BK7" s="164">
        <f t="shared" ca="1" si="12"/>
        <v>37</v>
      </c>
      <c r="BL7" s="164">
        <f t="shared" ca="1" si="13"/>
        <v>34</v>
      </c>
      <c r="BM7" s="169">
        <v>0.1</v>
      </c>
      <c r="BO7" s="162">
        <v>21</v>
      </c>
      <c r="BP7" s="164">
        <f t="shared" ca="1" si="14"/>
        <v>52</v>
      </c>
      <c r="BQ7" s="164">
        <f t="shared" ca="1" si="14"/>
        <v>52</v>
      </c>
      <c r="BR7" s="164">
        <f t="shared" ca="1" si="15"/>
        <v>37</v>
      </c>
      <c r="BS7" s="164">
        <f t="shared" ca="1" si="16"/>
        <v>38</v>
      </c>
      <c r="BT7" s="169">
        <v>0.05</v>
      </c>
    </row>
    <row r="8" spans="3:72" ht="20.25" thickTop="1" thickBot="1" x14ac:dyDescent="0.35">
      <c r="C8" s="163">
        <v>4</v>
      </c>
      <c r="D8" s="164">
        <f t="shared" ca="1" si="17"/>
        <v>10</v>
      </c>
      <c r="E8" s="164">
        <f t="shared" ca="1" si="18"/>
        <v>4</v>
      </c>
      <c r="F8" s="189">
        <f t="shared" ca="1" si="19"/>
        <v>6.3882020094970731</v>
      </c>
      <c r="G8" s="169">
        <v>0.1</v>
      </c>
      <c r="I8" s="162">
        <v>17</v>
      </c>
      <c r="J8" s="164">
        <f t="shared" ca="1" si="0"/>
        <v>11</v>
      </c>
      <c r="K8" s="164">
        <f t="shared" ca="1" si="1"/>
        <v>4</v>
      </c>
      <c r="L8" s="189">
        <f t="shared" ca="1" si="2"/>
        <v>6.0258139643624062</v>
      </c>
      <c r="M8" s="169">
        <v>0.05</v>
      </c>
      <c r="P8" s="163">
        <v>4</v>
      </c>
      <c r="Q8" s="164">
        <f t="shared" ca="1" si="20"/>
        <v>5</v>
      </c>
      <c r="R8" s="164">
        <f t="shared" ca="1" si="21"/>
        <v>4</v>
      </c>
      <c r="S8" s="189">
        <f t="shared" ca="1" si="22"/>
        <v>6.5025496837231058</v>
      </c>
      <c r="T8" s="189">
        <f t="shared" ca="1" si="23"/>
        <v>10.023941095079342</v>
      </c>
      <c r="U8" s="169">
        <v>0.1</v>
      </c>
      <c r="W8" s="162">
        <v>17</v>
      </c>
      <c r="X8" s="164">
        <f t="shared" ca="1" si="3"/>
        <v>5</v>
      </c>
      <c r="Y8" s="164">
        <f t="shared" ca="1" si="4"/>
        <v>6</v>
      </c>
      <c r="Z8" s="189">
        <f t="shared" ca="1" si="5"/>
        <v>6.2433426662962086</v>
      </c>
      <c r="AA8" s="189">
        <f t="shared" ca="1" si="6"/>
        <v>10.068086842669</v>
      </c>
      <c r="AB8" s="169">
        <v>0.05</v>
      </c>
      <c r="AD8" s="163">
        <v>4</v>
      </c>
      <c r="AE8" s="164">
        <f t="shared" ca="1" si="24"/>
        <v>953</v>
      </c>
      <c r="AF8" s="164">
        <f t="shared" ca="1" si="25"/>
        <v>702</v>
      </c>
      <c r="AG8" s="169">
        <v>0.1</v>
      </c>
      <c r="AI8" s="162">
        <v>17</v>
      </c>
      <c r="AJ8" s="164">
        <f t="shared" ca="1" si="7"/>
        <v>819</v>
      </c>
      <c r="AK8" s="164">
        <f t="shared" ca="1" si="8"/>
        <v>621</v>
      </c>
      <c r="AL8" s="169">
        <v>0.05</v>
      </c>
      <c r="AN8" s="163">
        <v>24</v>
      </c>
      <c r="AO8" s="164">
        <f t="shared" ca="1" si="9"/>
        <v>946</v>
      </c>
      <c r="AP8" s="164">
        <f t="shared" ca="1" si="10"/>
        <v>531</v>
      </c>
      <c r="AQ8" s="169">
        <v>0.05</v>
      </c>
      <c r="AS8" s="163">
        <v>4</v>
      </c>
      <c r="AT8" s="164">
        <f t="shared" ca="1" si="26"/>
        <v>219</v>
      </c>
      <c r="AU8" s="164">
        <f t="shared" ca="1" si="27"/>
        <v>313</v>
      </c>
      <c r="AV8" s="164">
        <f t="shared" ca="1" si="28"/>
        <v>16</v>
      </c>
      <c r="AW8" s="164">
        <f t="shared" ca="1" si="29"/>
        <v>28</v>
      </c>
      <c r="AX8" s="169">
        <v>0.1</v>
      </c>
      <c r="BA8" s="163">
        <v>4</v>
      </c>
      <c r="BB8" s="164">
        <f t="shared" ca="1" si="30"/>
        <v>51</v>
      </c>
      <c r="BC8" s="164">
        <f t="shared" ca="1" si="30"/>
        <v>52</v>
      </c>
      <c r="BD8" s="164">
        <f t="shared" ca="1" si="31"/>
        <v>40</v>
      </c>
      <c r="BE8" s="164">
        <f t="shared" ca="1" si="32"/>
        <v>40</v>
      </c>
      <c r="BF8" s="169">
        <v>0.1</v>
      </c>
      <c r="BH8" s="162">
        <v>13</v>
      </c>
      <c r="BI8" s="164">
        <f t="shared" ca="1" si="11"/>
        <v>48</v>
      </c>
      <c r="BJ8" s="164">
        <f t="shared" ca="1" si="11"/>
        <v>50</v>
      </c>
      <c r="BK8" s="164">
        <f t="shared" ca="1" si="12"/>
        <v>38</v>
      </c>
      <c r="BL8" s="164">
        <f t="shared" ca="1" si="13"/>
        <v>40</v>
      </c>
      <c r="BM8" s="169">
        <v>0.05</v>
      </c>
      <c r="BO8" s="163">
        <v>22</v>
      </c>
      <c r="BP8" s="164">
        <f t="shared" ca="1" si="14"/>
        <v>51</v>
      </c>
      <c r="BQ8" s="164">
        <f t="shared" ca="1" si="14"/>
        <v>48</v>
      </c>
      <c r="BR8" s="164">
        <f t="shared" ca="1" si="15"/>
        <v>41</v>
      </c>
      <c r="BS8" s="164">
        <f t="shared" ca="1" si="16"/>
        <v>40</v>
      </c>
      <c r="BT8" s="169">
        <v>0.05</v>
      </c>
    </row>
    <row r="9" spans="3:72" ht="20.25" thickTop="1" thickBot="1" x14ac:dyDescent="0.35">
      <c r="C9" s="162">
        <v>5</v>
      </c>
      <c r="D9" s="164">
        <f t="shared" ca="1" si="17"/>
        <v>8</v>
      </c>
      <c r="E9" s="164">
        <f t="shared" ca="1" si="18"/>
        <v>7</v>
      </c>
      <c r="F9" s="189">
        <f t="shared" ca="1" si="19"/>
        <v>6.0533850003975385</v>
      </c>
      <c r="G9" s="169">
        <v>0.1</v>
      </c>
      <c r="I9" s="163">
        <v>18</v>
      </c>
      <c r="J9" s="164">
        <f t="shared" ca="1" si="0"/>
        <v>12</v>
      </c>
      <c r="K9" s="164">
        <f t="shared" ca="1" si="1"/>
        <v>4</v>
      </c>
      <c r="L9" s="189">
        <f t="shared" ca="1" si="2"/>
        <v>6.2216676187827167</v>
      </c>
      <c r="M9" s="169">
        <v>0.05</v>
      </c>
      <c r="P9" s="162">
        <v>5</v>
      </c>
      <c r="Q9" s="164">
        <f t="shared" ca="1" si="20"/>
        <v>6</v>
      </c>
      <c r="R9" s="164">
        <f t="shared" ca="1" si="21"/>
        <v>5</v>
      </c>
      <c r="S9" s="189">
        <f t="shared" ca="1" si="22"/>
        <v>6.3759190353081001</v>
      </c>
      <c r="T9" s="189">
        <f t="shared" ca="1" si="23"/>
        <v>9.9711609303492725</v>
      </c>
      <c r="U9" s="169">
        <v>0.1</v>
      </c>
      <c r="W9" s="163">
        <v>18</v>
      </c>
      <c r="X9" s="164">
        <f t="shared" ca="1" si="3"/>
        <v>7</v>
      </c>
      <c r="Y9" s="164">
        <f t="shared" ca="1" si="4"/>
        <v>6</v>
      </c>
      <c r="Z9" s="189">
        <f t="shared" ca="1" si="5"/>
        <v>6.1585885057733005</v>
      </c>
      <c r="AA9" s="189">
        <f t="shared" ca="1" si="6"/>
        <v>10.469078475862363</v>
      </c>
      <c r="AB9" s="169">
        <v>0.05</v>
      </c>
      <c r="AD9" s="162">
        <v>5</v>
      </c>
      <c r="AE9" s="164">
        <f t="shared" ca="1" si="24"/>
        <v>883</v>
      </c>
      <c r="AF9" s="164">
        <f t="shared" ca="1" si="25"/>
        <v>701</v>
      </c>
      <c r="AG9" s="169">
        <v>0.1</v>
      </c>
      <c r="AI9" s="163">
        <v>18</v>
      </c>
      <c r="AJ9" s="164">
        <f t="shared" ca="1" si="7"/>
        <v>822</v>
      </c>
      <c r="AK9" s="164">
        <f t="shared" ca="1" si="8"/>
        <v>654</v>
      </c>
      <c r="AL9" s="169">
        <v>0.05</v>
      </c>
      <c r="AN9" s="162">
        <v>25</v>
      </c>
      <c r="AO9" s="164">
        <f t="shared" ca="1" si="9"/>
        <v>987</v>
      </c>
      <c r="AP9" s="164">
        <f t="shared" ca="1" si="10"/>
        <v>689</v>
      </c>
      <c r="AQ9" s="169">
        <v>0.05</v>
      </c>
      <c r="AS9" s="162">
        <v>5</v>
      </c>
      <c r="AT9" s="164">
        <f t="shared" ca="1" si="26"/>
        <v>220</v>
      </c>
      <c r="AU9" s="164">
        <f t="shared" ca="1" si="27"/>
        <v>298</v>
      </c>
      <c r="AV9" s="164">
        <f t="shared" ca="1" si="28"/>
        <v>13</v>
      </c>
      <c r="AW9" s="164">
        <f t="shared" ca="1" si="29"/>
        <v>26</v>
      </c>
      <c r="AX9" s="169">
        <v>0.1</v>
      </c>
      <c r="BA9" s="162">
        <v>5</v>
      </c>
      <c r="BB9" s="164">
        <f t="shared" ca="1" si="30"/>
        <v>51</v>
      </c>
      <c r="BC9" s="164">
        <f t="shared" ca="1" si="30"/>
        <v>52</v>
      </c>
      <c r="BD9" s="164">
        <f t="shared" ca="1" si="31"/>
        <v>38</v>
      </c>
      <c r="BE9" s="164">
        <f t="shared" ca="1" si="32"/>
        <v>37</v>
      </c>
      <c r="BF9" s="169">
        <v>0.1</v>
      </c>
      <c r="BH9" s="163">
        <v>14</v>
      </c>
      <c r="BI9" s="164">
        <f t="shared" ca="1" si="11"/>
        <v>52</v>
      </c>
      <c r="BJ9" s="164">
        <f t="shared" ca="1" si="11"/>
        <v>51</v>
      </c>
      <c r="BK9" s="164">
        <f t="shared" ca="1" si="12"/>
        <v>43</v>
      </c>
      <c r="BL9" s="164">
        <f t="shared" ca="1" si="13"/>
        <v>36</v>
      </c>
      <c r="BM9" s="169">
        <v>0.05</v>
      </c>
      <c r="BO9" s="162">
        <v>23</v>
      </c>
      <c r="BP9" s="164">
        <f t="shared" ca="1" si="14"/>
        <v>51</v>
      </c>
      <c r="BQ9" s="164">
        <f t="shared" ca="1" si="14"/>
        <v>51</v>
      </c>
      <c r="BR9" s="164">
        <f t="shared" ca="1" si="15"/>
        <v>41</v>
      </c>
      <c r="BS9" s="164">
        <f t="shared" ca="1" si="16"/>
        <v>39</v>
      </c>
      <c r="BT9" s="169">
        <v>0.05</v>
      </c>
    </row>
    <row r="10" spans="3:72" ht="20.25" thickTop="1" thickBot="1" x14ac:dyDescent="0.35">
      <c r="C10" s="163">
        <v>6</v>
      </c>
      <c r="D10" s="164">
        <f t="shared" ca="1" si="17"/>
        <v>8</v>
      </c>
      <c r="E10" s="164">
        <f t="shared" ca="1" si="18"/>
        <v>4</v>
      </c>
      <c r="F10" s="189">
        <f t="shared" ca="1" si="19"/>
        <v>6.0525130469320425</v>
      </c>
      <c r="G10" s="169">
        <v>0.1</v>
      </c>
      <c r="I10" s="162">
        <v>19</v>
      </c>
      <c r="J10" s="164">
        <f t="shared" ca="1" si="0"/>
        <v>9</v>
      </c>
      <c r="K10" s="164">
        <f t="shared" ca="1" si="1"/>
        <v>7</v>
      </c>
      <c r="L10" s="189">
        <f t="shared" ca="1" si="2"/>
        <v>6.261032433047383</v>
      </c>
      <c r="M10" s="169">
        <v>0.05</v>
      </c>
      <c r="P10" s="163">
        <v>6</v>
      </c>
      <c r="Q10" s="164">
        <f t="shared" ca="1" si="20"/>
        <v>5</v>
      </c>
      <c r="R10" s="164">
        <f t="shared" ca="1" si="21"/>
        <v>5</v>
      </c>
      <c r="S10" s="189">
        <f t="shared" ca="1" si="22"/>
        <v>6.2141662235740895</v>
      </c>
      <c r="T10" s="189">
        <f t="shared" ca="1" si="23"/>
        <v>10.613075997149638</v>
      </c>
      <c r="U10" s="169">
        <v>0.1</v>
      </c>
      <c r="W10" s="162">
        <v>19</v>
      </c>
      <c r="X10" s="164">
        <f t="shared" ca="1" si="3"/>
        <v>7</v>
      </c>
      <c r="Y10" s="164">
        <f t="shared" ca="1" si="4"/>
        <v>7</v>
      </c>
      <c r="Z10" s="189">
        <f t="shared" ca="1" si="5"/>
        <v>6.1495469498862398</v>
      </c>
      <c r="AA10" s="189">
        <f t="shared" ca="1" si="6"/>
        <v>10.012655589366389</v>
      </c>
      <c r="AB10" s="169">
        <v>0.05</v>
      </c>
      <c r="AD10" s="163">
        <v>6</v>
      </c>
      <c r="AE10" s="164">
        <f t="shared" ca="1" si="24"/>
        <v>900</v>
      </c>
      <c r="AF10" s="164">
        <f t="shared" ca="1" si="25"/>
        <v>547</v>
      </c>
      <c r="AG10" s="169">
        <v>0.1</v>
      </c>
      <c r="AI10" s="162">
        <v>19</v>
      </c>
      <c r="AJ10" s="164">
        <f t="shared" ca="1" si="7"/>
        <v>880</v>
      </c>
      <c r="AK10" s="164">
        <f t="shared" ca="1" si="8"/>
        <v>586</v>
      </c>
      <c r="AL10" s="169">
        <v>0.05</v>
      </c>
      <c r="AN10" s="163">
        <v>26</v>
      </c>
      <c r="AO10" s="164">
        <f t="shared" ca="1" si="9"/>
        <v>915</v>
      </c>
      <c r="AP10" s="164">
        <f t="shared" ca="1" si="10"/>
        <v>631</v>
      </c>
      <c r="AQ10" s="169">
        <v>0.05</v>
      </c>
      <c r="AS10" s="163">
        <v>6</v>
      </c>
      <c r="AT10" s="164">
        <f t="shared" ca="1" si="26"/>
        <v>206</v>
      </c>
      <c r="AU10" s="164">
        <f t="shared" ca="1" si="27"/>
        <v>292</v>
      </c>
      <c r="AV10" s="164">
        <f t="shared" ca="1" si="28"/>
        <v>18</v>
      </c>
      <c r="AW10" s="164">
        <f t="shared" ca="1" si="29"/>
        <v>25</v>
      </c>
      <c r="AX10" s="169">
        <v>0.1</v>
      </c>
      <c r="BA10" s="163">
        <v>6</v>
      </c>
      <c r="BB10" s="164">
        <f t="shared" ca="1" si="30"/>
        <v>51</v>
      </c>
      <c r="BC10" s="164">
        <f t="shared" ca="1" si="30"/>
        <v>52</v>
      </c>
      <c r="BD10" s="164">
        <f t="shared" ca="1" si="31"/>
        <v>41</v>
      </c>
      <c r="BE10" s="164">
        <f t="shared" ca="1" si="32"/>
        <v>36</v>
      </c>
      <c r="BF10" s="169">
        <v>0.1</v>
      </c>
      <c r="BH10" s="162">
        <v>15</v>
      </c>
      <c r="BI10" s="164">
        <f t="shared" ca="1" si="11"/>
        <v>52</v>
      </c>
      <c r="BJ10" s="164">
        <f t="shared" ca="1" si="11"/>
        <v>50</v>
      </c>
      <c r="BK10" s="164">
        <f t="shared" ca="1" si="12"/>
        <v>42</v>
      </c>
      <c r="BL10" s="164">
        <f t="shared" ca="1" si="13"/>
        <v>36</v>
      </c>
      <c r="BM10" s="169">
        <v>0.05</v>
      </c>
      <c r="BO10" s="163">
        <v>24</v>
      </c>
      <c r="BP10" s="164">
        <f t="shared" ca="1" si="14"/>
        <v>52</v>
      </c>
      <c r="BQ10" s="164">
        <f t="shared" ca="1" si="14"/>
        <v>48</v>
      </c>
      <c r="BR10" s="164">
        <f t="shared" ca="1" si="15"/>
        <v>42</v>
      </c>
      <c r="BS10" s="164">
        <f t="shared" ca="1" si="16"/>
        <v>39</v>
      </c>
      <c r="BT10" s="169">
        <v>0.05</v>
      </c>
    </row>
    <row r="11" spans="3:72" ht="20.25" thickTop="1" thickBot="1" x14ac:dyDescent="0.35">
      <c r="C11" s="162">
        <v>7</v>
      </c>
      <c r="D11" s="164">
        <f t="shared" ca="1" si="17"/>
        <v>10</v>
      </c>
      <c r="E11" s="164">
        <f t="shared" ca="1" si="18"/>
        <v>7</v>
      </c>
      <c r="F11" s="189">
        <f t="shared" ca="1" si="19"/>
        <v>6.0624087968318463</v>
      </c>
      <c r="G11" s="169">
        <v>0.1</v>
      </c>
      <c r="I11" s="163">
        <v>20</v>
      </c>
      <c r="J11" s="164">
        <f t="shared" ca="1" si="0"/>
        <v>10</v>
      </c>
      <c r="K11" s="164">
        <f t="shared" ca="1" si="1"/>
        <v>6</v>
      </c>
      <c r="L11" s="189">
        <f t="shared" ca="1" si="2"/>
        <v>6.1305505806771325</v>
      </c>
      <c r="M11" s="169">
        <v>0.05</v>
      </c>
      <c r="P11" s="162">
        <v>7</v>
      </c>
      <c r="Q11" s="164">
        <f t="shared" ca="1" si="20"/>
        <v>5</v>
      </c>
      <c r="R11" s="164">
        <f t="shared" ca="1" si="21"/>
        <v>5</v>
      </c>
      <c r="S11" s="189">
        <f t="shared" ca="1" si="22"/>
        <v>6.5094853128731076</v>
      </c>
      <c r="T11" s="189">
        <f t="shared" ca="1" si="23"/>
        <v>10.734533577188996</v>
      </c>
      <c r="U11" s="169">
        <v>0.1</v>
      </c>
      <c r="W11" s="163">
        <v>20</v>
      </c>
      <c r="X11" s="164">
        <f t="shared" ca="1" si="3"/>
        <v>5</v>
      </c>
      <c r="Y11" s="164">
        <f t="shared" ca="1" si="4"/>
        <v>5</v>
      </c>
      <c r="Z11" s="189">
        <f t="shared" ca="1" si="5"/>
        <v>6.3441422834346017</v>
      </c>
      <c r="AA11" s="189">
        <f t="shared" ca="1" si="6"/>
        <v>10.455966473754515</v>
      </c>
      <c r="AB11" s="169">
        <v>0.05</v>
      </c>
      <c r="AD11" s="162">
        <v>7</v>
      </c>
      <c r="AE11" s="164">
        <f t="shared" ca="1" si="24"/>
        <v>961</v>
      </c>
      <c r="AF11" s="164">
        <f t="shared" ca="1" si="25"/>
        <v>719</v>
      </c>
      <c r="AG11" s="169">
        <v>0.1</v>
      </c>
      <c r="AI11" s="163">
        <v>20</v>
      </c>
      <c r="AJ11" s="164">
        <f t="shared" ca="1" si="7"/>
        <v>851</v>
      </c>
      <c r="AK11" s="164">
        <f t="shared" ca="1" si="8"/>
        <v>666</v>
      </c>
      <c r="AL11" s="169">
        <v>0.05</v>
      </c>
      <c r="AS11" s="162">
        <v>7</v>
      </c>
      <c r="AT11" s="164">
        <f t="shared" ca="1" si="26"/>
        <v>201</v>
      </c>
      <c r="AU11" s="164">
        <f t="shared" ca="1" si="27"/>
        <v>303</v>
      </c>
      <c r="AV11" s="164">
        <f t="shared" ca="1" si="28"/>
        <v>14</v>
      </c>
      <c r="AW11" s="164">
        <f t="shared" ca="1" si="29"/>
        <v>26</v>
      </c>
      <c r="AX11" s="169">
        <v>0.1</v>
      </c>
      <c r="BA11" s="162">
        <v>7</v>
      </c>
      <c r="BB11" s="164">
        <f t="shared" ca="1" si="30"/>
        <v>49</v>
      </c>
      <c r="BC11" s="164">
        <f t="shared" ca="1" si="30"/>
        <v>48</v>
      </c>
      <c r="BD11" s="164">
        <f t="shared" ca="1" si="31"/>
        <v>43</v>
      </c>
      <c r="BE11" s="164">
        <f t="shared" ca="1" si="32"/>
        <v>37</v>
      </c>
      <c r="BF11" s="169">
        <v>0.1</v>
      </c>
      <c r="BH11" s="163">
        <v>16</v>
      </c>
      <c r="BI11" s="164">
        <f t="shared" ca="1" si="11"/>
        <v>48</v>
      </c>
      <c r="BJ11" s="164">
        <f t="shared" ca="1" si="11"/>
        <v>52</v>
      </c>
      <c r="BK11" s="164">
        <f t="shared" ca="1" si="12"/>
        <v>37</v>
      </c>
      <c r="BL11" s="164">
        <f t="shared" ca="1" si="13"/>
        <v>39</v>
      </c>
      <c r="BM11" s="169">
        <v>0.05</v>
      </c>
      <c r="BO11" s="162">
        <v>25</v>
      </c>
      <c r="BP11" s="164">
        <f t="shared" ca="1" si="14"/>
        <v>49</v>
      </c>
      <c r="BQ11" s="164">
        <f t="shared" ca="1" si="14"/>
        <v>52</v>
      </c>
      <c r="BR11" s="164">
        <f t="shared" ca="1" si="15"/>
        <v>40</v>
      </c>
      <c r="BS11" s="164">
        <f t="shared" ca="1" si="16"/>
        <v>39</v>
      </c>
      <c r="BT11" s="169">
        <v>0.05</v>
      </c>
    </row>
    <row r="12" spans="3:72" ht="20.25" thickTop="1" thickBot="1" x14ac:dyDescent="0.35">
      <c r="C12" s="163">
        <v>8</v>
      </c>
      <c r="D12" s="164">
        <f t="shared" ca="1" si="17"/>
        <v>11</v>
      </c>
      <c r="E12" s="164">
        <f t="shared" ca="1" si="18"/>
        <v>5</v>
      </c>
      <c r="F12" s="189">
        <f t="shared" ca="1" si="19"/>
        <v>6.3323791969484002</v>
      </c>
      <c r="G12" s="169">
        <v>0.1</v>
      </c>
      <c r="I12" s="162">
        <v>21</v>
      </c>
      <c r="J12" s="164">
        <f t="shared" ca="1" si="0"/>
        <v>8</v>
      </c>
      <c r="K12" s="164">
        <f t="shared" ca="1" si="1"/>
        <v>4</v>
      </c>
      <c r="L12" s="189">
        <f t="shared" ca="1" si="2"/>
        <v>6.0647120908853926</v>
      </c>
      <c r="M12" s="169">
        <v>0.05</v>
      </c>
      <c r="P12" s="163">
        <v>8</v>
      </c>
      <c r="Q12" s="164">
        <f t="shared" ca="1" si="20"/>
        <v>5</v>
      </c>
      <c r="R12" s="164">
        <f t="shared" ca="1" si="21"/>
        <v>6</v>
      </c>
      <c r="S12" s="189">
        <f t="shared" ca="1" si="22"/>
        <v>6.0246178296235122</v>
      </c>
      <c r="T12" s="189">
        <f t="shared" ca="1" si="23"/>
        <v>10.674253257604448</v>
      </c>
      <c r="U12" s="169">
        <v>0.1</v>
      </c>
      <c r="W12" s="162">
        <v>21</v>
      </c>
      <c r="X12" s="164">
        <f t="shared" ca="1" si="3"/>
        <v>5</v>
      </c>
      <c r="Y12" s="164">
        <f t="shared" ca="1" si="4"/>
        <v>6</v>
      </c>
      <c r="Z12" s="189">
        <f t="shared" ca="1" si="5"/>
        <v>6.2321137079938591</v>
      </c>
      <c r="AA12" s="189">
        <f t="shared" ca="1" si="6"/>
        <v>10.376405350818747</v>
      </c>
      <c r="AB12" s="169">
        <v>0.05</v>
      </c>
      <c r="AD12" s="163">
        <v>8</v>
      </c>
      <c r="AE12" s="164">
        <f t="shared" ca="1" si="24"/>
        <v>847</v>
      </c>
      <c r="AF12" s="164">
        <f t="shared" ca="1" si="25"/>
        <v>748</v>
      </c>
      <c r="AG12" s="169">
        <v>0.1</v>
      </c>
      <c r="AI12" s="162">
        <v>21</v>
      </c>
      <c r="AJ12" s="164">
        <f t="shared" ca="1" si="7"/>
        <v>921</v>
      </c>
      <c r="AK12" s="164">
        <f t="shared" ca="1" si="8"/>
        <v>592</v>
      </c>
      <c r="AL12" s="169">
        <v>0.05</v>
      </c>
      <c r="AS12" s="163">
        <v>8</v>
      </c>
      <c r="AT12" s="164">
        <f t="shared" ca="1" si="26"/>
        <v>184</v>
      </c>
      <c r="AU12" s="164">
        <f t="shared" ca="1" si="27"/>
        <v>283</v>
      </c>
      <c r="AV12" s="164">
        <f t="shared" ca="1" si="28"/>
        <v>14</v>
      </c>
      <c r="AW12" s="164">
        <f t="shared" ca="1" si="29"/>
        <v>25</v>
      </c>
      <c r="AX12" s="169">
        <v>0.1</v>
      </c>
      <c r="BA12" s="163">
        <v>8</v>
      </c>
      <c r="BB12" s="164">
        <f t="shared" ca="1" si="30"/>
        <v>51</v>
      </c>
      <c r="BC12" s="164">
        <f t="shared" ca="1" si="30"/>
        <v>49</v>
      </c>
      <c r="BD12" s="164">
        <f t="shared" ca="1" si="31"/>
        <v>37</v>
      </c>
      <c r="BE12" s="164">
        <f t="shared" ca="1" si="32"/>
        <v>40</v>
      </c>
      <c r="BF12" s="169">
        <v>0.1</v>
      </c>
      <c r="BH12" s="162">
        <v>17</v>
      </c>
      <c r="BI12" s="164">
        <f t="shared" ca="1" si="11"/>
        <v>52</v>
      </c>
      <c r="BJ12" s="164">
        <f t="shared" ca="1" si="11"/>
        <v>50</v>
      </c>
      <c r="BK12" s="164">
        <f t="shared" ca="1" si="12"/>
        <v>38</v>
      </c>
      <c r="BL12" s="164">
        <f t="shared" ca="1" si="13"/>
        <v>35</v>
      </c>
      <c r="BM12" s="169">
        <v>0.05</v>
      </c>
      <c r="BO12" s="163">
        <v>26</v>
      </c>
      <c r="BP12" s="164">
        <f t="shared" ca="1" si="14"/>
        <v>49</v>
      </c>
      <c r="BQ12" s="164">
        <f t="shared" ca="1" si="14"/>
        <v>52</v>
      </c>
      <c r="BR12" s="164">
        <f t="shared" ca="1" si="15"/>
        <v>40</v>
      </c>
      <c r="BS12" s="164">
        <f t="shared" ca="1" si="16"/>
        <v>39</v>
      </c>
      <c r="BT12" s="169">
        <v>0.05</v>
      </c>
    </row>
    <row r="13" spans="3:72" ht="20.25" thickTop="1" thickBot="1" x14ac:dyDescent="0.35">
      <c r="C13" s="162">
        <v>9</v>
      </c>
      <c r="D13" s="164">
        <f t="shared" ca="1" si="17"/>
        <v>12</v>
      </c>
      <c r="E13" s="164">
        <f t="shared" ca="1" si="18"/>
        <v>7</v>
      </c>
      <c r="F13" s="189">
        <f t="shared" ca="1" si="19"/>
        <v>6.2419920770153716</v>
      </c>
      <c r="G13" s="169">
        <v>0.1</v>
      </c>
      <c r="I13" s="163">
        <v>22</v>
      </c>
      <c r="J13" s="164">
        <f t="shared" ca="1" si="0"/>
        <v>11</v>
      </c>
      <c r="K13" s="164">
        <f t="shared" ca="1" si="1"/>
        <v>5</v>
      </c>
      <c r="L13" s="189">
        <f t="shared" ca="1" si="2"/>
        <v>6.3148167219140321</v>
      </c>
      <c r="M13" s="169">
        <v>0.05</v>
      </c>
      <c r="P13" s="162">
        <v>9</v>
      </c>
      <c r="Q13" s="164">
        <f t="shared" ca="1" si="20"/>
        <v>8</v>
      </c>
      <c r="R13" s="164">
        <f t="shared" ca="1" si="21"/>
        <v>5</v>
      </c>
      <c r="S13" s="189">
        <f t="shared" ca="1" si="22"/>
        <v>6.0222026091169436</v>
      </c>
      <c r="T13" s="189">
        <f t="shared" ca="1" si="23"/>
        <v>9.9848565426147697</v>
      </c>
      <c r="U13" s="169">
        <v>0.1</v>
      </c>
      <c r="W13" s="163">
        <v>22</v>
      </c>
      <c r="X13" s="164">
        <f t="shared" ca="1" si="3"/>
        <v>6</v>
      </c>
      <c r="Y13" s="164">
        <f t="shared" ca="1" si="4"/>
        <v>7</v>
      </c>
      <c r="Z13" s="189">
        <f t="shared" ca="1" si="5"/>
        <v>6.2148729196296824</v>
      </c>
      <c r="AA13" s="189">
        <f t="shared" ca="1" si="6"/>
        <v>10.518862929777374</v>
      </c>
      <c r="AB13" s="169">
        <v>0.05</v>
      </c>
      <c r="AD13" s="162">
        <v>9</v>
      </c>
      <c r="AE13" s="164">
        <f t="shared" ca="1" si="24"/>
        <v>893</v>
      </c>
      <c r="AF13" s="164">
        <f t="shared" ca="1" si="25"/>
        <v>759</v>
      </c>
      <c r="AG13" s="169">
        <v>0.1</v>
      </c>
      <c r="AI13" s="163">
        <v>22</v>
      </c>
      <c r="AJ13" s="164">
        <f t="shared" ca="1" si="7"/>
        <v>904</v>
      </c>
      <c r="AK13" s="164">
        <f t="shared" ca="1" si="8"/>
        <v>528</v>
      </c>
      <c r="AL13" s="169">
        <v>0.05</v>
      </c>
      <c r="AS13" s="162">
        <v>9</v>
      </c>
      <c r="AT13" s="164">
        <f t="shared" ca="1" si="26"/>
        <v>181</v>
      </c>
      <c r="AU13" s="164">
        <f t="shared" ca="1" si="27"/>
        <v>310</v>
      </c>
      <c r="AV13" s="164">
        <f t="shared" ca="1" si="28"/>
        <v>10</v>
      </c>
      <c r="AW13" s="164">
        <f t="shared" ca="1" si="29"/>
        <v>24</v>
      </c>
      <c r="AX13" s="169">
        <v>0.1</v>
      </c>
      <c r="BA13" s="162">
        <v>9</v>
      </c>
      <c r="BB13" s="164">
        <f t="shared" ca="1" si="30"/>
        <v>49</v>
      </c>
      <c r="BC13" s="164">
        <f t="shared" ca="1" si="30"/>
        <v>48</v>
      </c>
      <c r="BD13" s="164">
        <f t="shared" ca="1" si="31"/>
        <v>41</v>
      </c>
      <c r="BE13" s="164">
        <f t="shared" ca="1" si="32"/>
        <v>35</v>
      </c>
      <c r="BF13" s="169">
        <v>0.1</v>
      </c>
      <c r="BH13" s="163">
        <v>18</v>
      </c>
      <c r="BI13" s="164">
        <f t="shared" ca="1" si="11"/>
        <v>52</v>
      </c>
      <c r="BJ13" s="164">
        <f t="shared" ca="1" si="11"/>
        <v>48</v>
      </c>
      <c r="BK13" s="164">
        <f t="shared" ca="1" si="12"/>
        <v>43</v>
      </c>
      <c r="BL13" s="164">
        <f t="shared" ca="1" si="13"/>
        <v>37</v>
      </c>
      <c r="BM13" s="169">
        <v>0.05</v>
      </c>
    </row>
    <row r="14" spans="3:72" ht="20.25" thickTop="1" thickBot="1" x14ac:dyDescent="0.35">
      <c r="C14" s="163">
        <v>10</v>
      </c>
      <c r="D14" s="164">
        <f t="shared" ca="1" si="17"/>
        <v>10</v>
      </c>
      <c r="E14" s="164">
        <f t="shared" ca="1" si="18"/>
        <v>6</v>
      </c>
      <c r="F14" s="189">
        <f t="shared" ca="1" si="19"/>
        <v>6.1860473092186474</v>
      </c>
      <c r="G14" s="169">
        <v>0.1</v>
      </c>
      <c r="I14" s="162">
        <v>23</v>
      </c>
      <c r="J14" s="164">
        <f t="shared" ca="1" si="0"/>
        <v>12</v>
      </c>
      <c r="K14" s="164">
        <f t="shared" ca="1" si="1"/>
        <v>5</v>
      </c>
      <c r="L14" s="189">
        <f t="shared" ca="1" si="2"/>
        <v>6.3066897879324637</v>
      </c>
      <c r="M14" s="169">
        <v>0.05</v>
      </c>
      <c r="P14" s="163">
        <v>10</v>
      </c>
      <c r="Q14" s="164">
        <f t="shared" ca="1" si="20"/>
        <v>5</v>
      </c>
      <c r="R14" s="164">
        <f t="shared" ca="1" si="21"/>
        <v>3</v>
      </c>
      <c r="S14" s="189">
        <f t="shared" ca="1" si="22"/>
        <v>6.4771381667350969</v>
      </c>
      <c r="T14" s="189">
        <f t="shared" ca="1" si="23"/>
        <v>10.202267305174008</v>
      </c>
      <c r="U14" s="169">
        <v>0.1</v>
      </c>
      <c r="W14" s="162">
        <v>23</v>
      </c>
      <c r="X14" s="164">
        <f t="shared" ca="1" si="3"/>
        <v>9</v>
      </c>
      <c r="Y14" s="164">
        <f t="shared" ca="1" si="4"/>
        <v>4</v>
      </c>
      <c r="Z14" s="189">
        <f t="shared" ca="1" si="5"/>
        <v>6.2378809824064554</v>
      </c>
      <c r="AA14" s="189">
        <f t="shared" ca="1" si="6"/>
        <v>10.78541335734711</v>
      </c>
      <c r="AB14" s="169">
        <v>0.05</v>
      </c>
      <c r="AD14" s="163">
        <v>10</v>
      </c>
      <c r="AE14" s="164">
        <f t="shared" ca="1" si="24"/>
        <v>979</v>
      </c>
      <c r="AF14" s="164">
        <f t="shared" ca="1" si="25"/>
        <v>703</v>
      </c>
      <c r="AG14" s="169">
        <v>0.1</v>
      </c>
      <c r="AI14" s="162">
        <v>23</v>
      </c>
      <c r="AJ14" s="164">
        <f t="shared" ca="1" si="7"/>
        <v>908</v>
      </c>
      <c r="AK14" s="164">
        <f t="shared" ca="1" si="8"/>
        <v>656</v>
      </c>
      <c r="AL14" s="169">
        <v>0.05</v>
      </c>
      <c r="AS14" s="163">
        <v>10</v>
      </c>
      <c r="AT14" s="164">
        <f t="shared" ca="1" si="26"/>
        <v>198</v>
      </c>
      <c r="AU14" s="164">
        <f t="shared" ca="1" si="27"/>
        <v>307</v>
      </c>
      <c r="AV14" s="164">
        <f t="shared" ca="1" si="28"/>
        <v>12</v>
      </c>
      <c r="AW14" s="164">
        <f t="shared" ca="1" si="29"/>
        <v>26</v>
      </c>
      <c r="AX14" s="169">
        <v>0.1</v>
      </c>
      <c r="BA14" s="163">
        <v>10</v>
      </c>
      <c r="BB14" s="164">
        <f t="shared" ca="1" si="30"/>
        <v>49</v>
      </c>
      <c r="BC14" s="164">
        <f t="shared" ca="1" si="30"/>
        <v>51</v>
      </c>
      <c r="BD14" s="164">
        <f t="shared" ca="1" si="31"/>
        <v>38</v>
      </c>
      <c r="BE14" s="164">
        <f t="shared" ca="1" si="32"/>
        <v>37</v>
      </c>
      <c r="BF14" s="169">
        <v>0.1</v>
      </c>
    </row>
    <row r="15" spans="3:72" ht="20.25" thickTop="1" thickBot="1" x14ac:dyDescent="0.35">
      <c r="C15" s="162">
        <v>11</v>
      </c>
      <c r="D15" s="164">
        <f t="shared" ca="1" si="17"/>
        <v>10</v>
      </c>
      <c r="E15" s="164">
        <f t="shared" ca="1" si="18"/>
        <v>5</v>
      </c>
      <c r="F15" s="189">
        <f t="shared" ca="1" si="19"/>
        <v>6.237552892966586</v>
      </c>
      <c r="G15" s="169">
        <v>0.1</v>
      </c>
      <c r="I15" s="163">
        <v>24</v>
      </c>
      <c r="J15" s="164">
        <f t="shared" ca="1" si="0"/>
        <v>10</v>
      </c>
      <c r="K15" s="164">
        <f t="shared" ca="1" si="1"/>
        <v>4</v>
      </c>
      <c r="L15" s="189">
        <f t="shared" ca="1" si="2"/>
        <v>6.0833049772936967</v>
      </c>
      <c r="M15" s="169">
        <v>0.05</v>
      </c>
      <c r="P15" s="162">
        <v>11</v>
      </c>
      <c r="Q15" s="164">
        <f t="shared" ca="1" si="20"/>
        <v>5</v>
      </c>
      <c r="R15" s="164">
        <f t="shared" ca="1" si="21"/>
        <v>4</v>
      </c>
      <c r="S15" s="189">
        <f t="shared" ca="1" si="22"/>
        <v>6.0933513737472564</v>
      </c>
      <c r="T15" s="189">
        <f t="shared" ca="1" si="23"/>
        <v>10.060330697881774</v>
      </c>
      <c r="U15" s="169">
        <v>0.1</v>
      </c>
      <c r="W15" s="163">
        <v>24</v>
      </c>
      <c r="X15" s="164">
        <f t="shared" ca="1" si="3"/>
        <v>6</v>
      </c>
      <c r="Y15" s="164">
        <f t="shared" ca="1" si="4"/>
        <v>5</v>
      </c>
      <c r="Z15" s="189">
        <f t="shared" ca="1" si="5"/>
        <v>6.2758646729227436</v>
      </c>
      <c r="AA15" s="189">
        <f t="shared" ca="1" si="6"/>
        <v>10.255527552289601</v>
      </c>
      <c r="AB15" s="169">
        <v>0.05</v>
      </c>
      <c r="AD15" s="162">
        <v>11</v>
      </c>
      <c r="AE15" s="164">
        <f t="shared" ca="1" si="24"/>
        <v>927</v>
      </c>
      <c r="AF15" s="164">
        <f t="shared" ca="1" si="25"/>
        <v>550</v>
      </c>
      <c r="AG15" s="169">
        <v>0.1</v>
      </c>
      <c r="AI15" s="163">
        <v>24</v>
      </c>
      <c r="AJ15" s="164">
        <f t="shared" ca="1" si="7"/>
        <v>969</v>
      </c>
      <c r="AK15" s="164">
        <f t="shared" ca="1" si="8"/>
        <v>738</v>
      </c>
      <c r="AL15" s="169">
        <v>0.05</v>
      </c>
      <c r="AS15" s="162">
        <v>11</v>
      </c>
      <c r="AT15" s="164">
        <f t="shared" ca="1" si="26"/>
        <v>184</v>
      </c>
      <c r="AU15" s="164">
        <f t="shared" ca="1" si="27"/>
        <v>319</v>
      </c>
      <c r="AV15" s="164">
        <f t="shared" ca="1" si="28"/>
        <v>14</v>
      </c>
      <c r="AW15" s="164">
        <f t="shared" ca="1" si="29"/>
        <v>28</v>
      </c>
      <c r="AX15" s="169">
        <v>0.1</v>
      </c>
      <c r="BA15" s="162">
        <v>11</v>
      </c>
      <c r="BB15" s="164">
        <f t="shared" ca="1" si="30"/>
        <v>49</v>
      </c>
      <c r="BC15" s="164">
        <f t="shared" ca="1" si="30"/>
        <v>49</v>
      </c>
      <c r="BD15" s="164">
        <f t="shared" ca="1" si="31"/>
        <v>40</v>
      </c>
      <c r="BE15" s="164">
        <f t="shared" ca="1" si="32"/>
        <v>38</v>
      </c>
      <c r="BF15" s="169">
        <v>0.1</v>
      </c>
    </row>
    <row r="16" spans="3:72" ht="20.25" thickTop="1" thickBot="1" x14ac:dyDescent="0.35">
      <c r="C16" s="163">
        <v>12</v>
      </c>
      <c r="D16" s="164">
        <f t="shared" ca="1" si="17"/>
        <v>8</v>
      </c>
      <c r="E16" s="164">
        <f t="shared" ca="1" si="18"/>
        <v>4</v>
      </c>
      <c r="F16" s="189">
        <f t="shared" ca="1" si="19"/>
        <v>6.0302514574902988</v>
      </c>
      <c r="G16" s="169">
        <v>0.1</v>
      </c>
      <c r="I16" s="162">
        <v>25</v>
      </c>
      <c r="J16" s="164">
        <f t="shared" ca="1" si="0"/>
        <v>11</v>
      </c>
      <c r="K16" s="164">
        <f t="shared" ca="1" si="1"/>
        <v>7</v>
      </c>
      <c r="L16" s="189">
        <f t="shared" ca="1" si="2"/>
        <v>6.1820060078650894</v>
      </c>
      <c r="M16" s="169">
        <v>0.05</v>
      </c>
      <c r="P16" s="163">
        <v>12</v>
      </c>
      <c r="Q16" s="164">
        <f t="shared" ca="1" si="20"/>
        <v>6</v>
      </c>
      <c r="R16" s="164">
        <f t="shared" ca="1" si="21"/>
        <v>7</v>
      </c>
      <c r="S16" s="189">
        <f t="shared" ca="1" si="22"/>
        <v>6.02416994531045</v>
      </c>
      <c r="T16" s="189">
        <f t="shared" ca="1" si="23"/>
        <v>9.9093200872117375</v>
      </c>
      <c r="U16" s="169">
        <v>0.1</v>
      </c>
      <c r="W16" s="162">
        <v>25</v>
      </c>
      <c r="X16" s="164">
        <f t="shared" ca="1" si="3"/>
        <v>9</v>
      </c>
      <c r="Y16" s="164">
        <f t="shared" ca="1" si="4"/>
        <v>5</v>
      </c>
      <c r="Z16" s="189">
        <f t="shared" ca="1" si="5"/>
        <v>6.4262430433695634</v>
      </c>
      <c r="AA16" s="189">
        <f t="shared" ca="1" si="6"/>
        <v>10.196030926941939</v>
      </c>
      <c r="AB16" s="169">
        <v>0.05</v>
      </c>
      <c r="AD16" s="163">
        <v>12</v>
      </c>
      <c r="AE16" s="164">
        <f t="shared" ca="1" si="24"/>
        <v>856</v>
      </c>
      <c r="AF16" s="164">
        <f t="shared" ca="1" si="25"/>
        <v>601</v>
      </c>
      <c r="AG16" s="169">
        <v>0.1</v>
      </c>
      <c r="AI16" s="162">
        <v>25</v>
      </c>
      <c r="AJ16" s="164">
        <f t="shared" ca="1" si="7"/>
        <v>914</v>
      </c>
      <c r="AK16" s="164">
        <f t="shared" ca="1" si="8"/>
        <v>604</v>
      </c>
      <c r="AL16" s="169">
        <v>0.05</v>
      </c>
      <c r="AS16" s="163">
        <v>12</v>
      </c>
      <c r="AT16" s="164">
        <f t="shared" ca="1" si="26"/>
        <v>202</v>
      </c>
      <c r="AU16" s="164">
        <f t="shared" ca="1" si="27"/>
        <v>309</v>
      </c>
      <c r="AV16" s="164">
        <f t="shared" ca="1" si="28"/>
        <v>12</v>
      </c>
      <c r="AW16" s="164">
        <f t="shared" ca="1" si="29"/>
        <v>25</v>
      </c>
      <c r="AX16" s="169">
        <v>0.1</v>
      </c>
      <c r="BA16" s="163">
        <v>12</v>
      </c>
      <c r="BB16" s="164">
        <f t="shared" ca="1" si="30"/>
        <v>49</v>
      </c>
      <c r="BC16" s="164">
        <f t="shared" ca="1" si="30"/>
        <v>49</v>
      </c>
      <c r="BD16" s="164">
        <f t="shared" ca="1" si="31"/>
        <v>38</v>
      </c>
      <c r="BE16" s="164">
        <f t="shared" ca="1" si="32"/>
        <v>40</v>
      </c>
      <c r="BF16" s="169">
        <v>0.1</v>
      </c>
    </row>
    <row r="17" spans="3:58" ht="20.25" thickTop="1" thickBot="1" x14ac:dyDescent="0.35">
      <c r="C17" s="162">
        <v>13</v>
      </c>
      <c r="D17" s="164">
        <f t="shared" ca="1" si="17"/>
        <v>10</v>
      </c>
      <c r="E17" s="164">
        <f t="shared" ca="1" si="18"/>
        <v>6</v>
      </c>
      <c r="F17" s="189">
        <f t="shared" ca="1" si="19"/>
        <v>6.3059919515333815</v>
      </c>
      <c r="G17" s="169">
        <v>0.05</v>
      </c>
      <c r="I17" s="163">
        <v>26</v>
      </c>
      <c r="J17" s="164">
        <f t="shared" ca="1" si="0"/>
        <v>8</v>
      </c>
      <c r="K17" s="164">
        <f t="shared" ca="1" si="1"/>
        <v>4</v>
      </c>
      <c r="L17" s="189">
        <f t="shared" ca="1" si="2"/>
        <v>6.029811270248171</v>
      </c>
      <c r="M17" s="169">
        <v>0.05</v>
      </c>
      <c r="P17" s="162">
        <v>13</v>
      </c>
      <c r="Q17" s="164">
        <f t="shared" ca="1" si="20"/>
        <v>9</v>
      </c>
      <c r="R17" s="164">
        <f t="shared" ca="1" si="21"/>
        <v>3</v>
      </c>
      <c r="S17" s="189">
        <f t="shared" ca="1" si="22"/>
        <v>6.383899679006471</v>
      </c>
      <c r="T17" s="189">
        <f t="shared" ca="1" si="23"/>
        <v>9.8699678710982592</v>
      </c>
      <c r="U17" s="169">
        <v>0.05</v>
      </c>
      <c r="W17" s="163">
        <v>26</v>
      </c>
      <c r="X17" s="164">
        <f t="shared" ca="1" si="3"/>
        <v>8</v>
      </c>
      <c r="Y17" s="164">
        <f t="shared" ca="1" si="4"/>
        <v>4</v>
      </c>
      <c r="Z17" s="189">
        <f t="shared" ca="1" si="5"/>
        <v>6.3148048992212802</v>
      </c>
      <c r="AA17" s="189">
        <f t="shared" ca="1" si="6"/>
        <v>10.60157281705674</v>
      </c>
      <c r="AB17" s="169">
        <v>0.05</v>
      </c>
      <c r="AD17" s="162">
        <v>13</v>
      </c>
      <c r="AE17" s="164">
        <f t="shared" ca="1" si="24"/>
        <v>987</v>
      </c>
      <c r="AF17" s="164">
        <f t="shared" ca="1" si="25"/>
        <v>524</v>
      </c>
      <c r="AG17" s="169">
        <v>0.05</v>
      </c>
      <c r="AI17" s="163">
        <v>26</v>
      </c>
      <c r="AJ17" s="164">
        <f t="shared" ca="1" si="7"/>
        <v>806</v>
      </c>
      <c r="AK17" s="164">
        <f t="shared" ca="1" si="8"/>
        <v>745</v>
      </c>
      <c r="AL17" s="169">
        <v>0.05</v>
      </c>
      <c r="AS17" s="162">
        <v>13</v>
      </c>
      <c r="AT17" s="164">
        <f t="shared" ca="1" si="26"/>
        <v>196</v>
      </c>
      <c r="AU17" s="164">
        <f t="shared" ca="1" si="27"/>
        <v>282</v>
      </c>
      <c r="AV17" s="164">
        <f t="shared" ca="1" si="28"/>
        <v>12</v>
      </c>
      <c r="AW17" s="164">
        <f t="shared" ca="1" si="29"/>
        <v>24</v>
      </c>
      <c r="AX17" s="169">
        <v>0.05</v>
      </c>
      <c r="BA17" s="162">
        <v>13</v>
      </c>
      <c r="BB17" s="164">
        <f t="shared" ca="1" si="30"/>
        <v>50</v>
      </c>
      <c r="BC17" s="164">
        <f t="shared" ca="1" si="30"/>
        <v>48</v>
      </c>
      <c r="BD17" s="164">
        <f t="shared" ca="1" si="31"/>
        <v>43</v>
      </c>
      <c r="BE17" s="164">
        <f t="shared" ca="1" si="32"/>
        <v>37</v>
      </c>
      <c r="BF17" s="169">
        <v>0.05</v>
      </c>
    </row>
    <row r="18" spans="3:58" ht="20.25" thickTop="1" thickBot="1" x14ac:dyDescent="0.35">
      <c r="C18" s="163">
        <v>14</v>
      </c>
      <c r="D18" s="164">
        <f t="shared" ca="1" si="17"/>
        <v>9</v>
      </c>
      <c r="E18" s="164">
        <f t="shared" ca="1" si="18"/>
        <v>6</v>
      </c>
      <c r="F18" s="189">
        <f t="shared" ca="1" si="19"/>
        <v>6.2911571829819088</v>
      </c>
      <c r="G18" s="169">
        <v>0.05</v>
      </c>
      <c r="P18" s="163">
        <v>14</v>
      </c>
      <c r="Q18" s="164">
        <f t="shared" ca="1" si="20"/>
        <v>6</v>
      </c>
      <c r="R18" s="164">
        <f t="shared" ca="1" si="21"/>
        <v>7</v>
      </c>
      <c r="S18" s="189">
        <f t="shared" ca="1" si="22"/>
        <v>6.2043582219004465</v>
      </c>
      <c r="T18" s="189">
        <f t="shared" ca="1" si="23"/>
        <v>10.588296696324065</v>
      </c>
      <c r="U18" s="169">
        <v>0.05</v>
      </c>
      <c r="AD18" s="163">
        <v>14</v>
      </c>
      <c r="AE18" s="164">
        <f t="shared" ca="1" si="24"/>
        <v>995</v>
      </c>
      <c r="AF18" s="164">
        <f t="shared" ca="1" si="25"/>
        <v>540</v>
      </c>
      <c r="AG18" s="169">
        <v>0.05</v>
      </c>
      <c r="AS18" s="163">
        <v>14</v>
      </c>
      <c r="AT18" s="164">
        <f t="shared" ca="1" si="26"/>
        <v>220</v>
      </c>
      <c r="AU18" s="164">
        <f t="shared" ca="1" si="27"/>
        <v>283</v>
      </c>
      <c r="AV18" s="164">
        <f t="shared" ca="1" si="28"/>
        <v>14</v>
      </c>
      <c r="AW18" s="164">
        <f t="shared" ca="1" si="29"/>
        <v>26</v>
      </c>
      <c r="AX18" s="169">
        <v>0.05</v>
      </c>
      <c r="BA18" s="163">
        <v>14</v>
      </c>
      <c r="BB18" s="164">
        <f t="shared" ca="1" si="30"/>
        <v>51</v>
      </c>
      <c r="BC18" s="164">
        <f t="shared" ca="1" si="30"/>
        <v>48</v>
      </c>
      <c r="BD18" s="164">
        <f t="shared" ca="1" si="31"/>
        <v>40</v>
      </c>
      <c r="BE18" s="164">
        <f t="shared" ca="1" si="32"/>
        <v>38</v>
      </c>
      <c r="BF18" s="169">
        <v>0.05</v>
      </c>
    </row>
    <row r="19" spans="3:58" ht="20.25" thickTop="1" thickBot="1" x14ac:dyDescent="0.35">
      <c r="C19" s="162">
        <v>15</v>
      </c>
      <c r="D19" s="164">
        <f t="shared" ca="1" si="17"/>
        <v>9</v>
      </c>
      <c r="E19" s="164">
        <f t="shared" ca="1" si="18"/>
        <v>5</v>
      </c>
      <c r="F19" s="189">
        <f t="shared" ca="1" si="19"/>
        <v>6.0238264918537023</v>
      </c>
      <c r="G19" s="169">
        <v>0.05</v>
      </c>
      <c r="P19" s="162">
        <v>15</v>
      </c>
      <c r="Q19" s="164">
        <f t="shared" ca="1" si="20"/>
        <v>9</v>
      </c>
      <c r="R19" s="164">
        <f t="shared" ca="1" si="21"/>
        <v>5</v>
      </c>
      <c r="S19" s="189">
        <f t="shared" ca="1" si="22"/>
        <v>6.2338679214334398</v>
      </c>
      <c r="T19" s="189">
        <f t="shared" ca="1" si="23"/>
        <v>10.412288796774236</v>
      </c>
      <c r="U19" s="169">
        <v>0.05</v>
      </c>
      <c r="AD19" s="162">
        <v>15</v>
      </c>
      <c r="AE19" s="164">
        <f t="shared" ca="1" si="24"/>
        <v>835</v>
      </c>
      <c r="AF19" s="164">
        <f t="shared" ca="1" si="25"/>
        <v>671</v>
      </c>
      <c r="AG19" s="169">
        <v>0.05</v>
      </c>
      <c r="AS19" s="162">
        <v>15</v>
      </c>
      <c r="AT19" s="164">
        <f t="shared" ca="1" si="26"/>
        <v>212</v>
      </c>
      <c r="AU19" s="164">
        <f t="shared" ca="1" si="27"/>
        <v>283</v>
      </c>
      <c r="AV19" s="164">
        <f t="shared" ca="1" si="28"/>
        <v>17</v>
      </c>
      <c r="AW19" s="164">
        <f t="shared" ca="1" si="29"/>
        <v>29</v>
      </c>
      <c r="AX19" s="169">
        <v>0.05</v>
      </c>
      <c r="BA19" s="162">
        <v>15</v>
      </c>
      <c r="BB19" s="164">
        <f t="shared" ca="1" si="30"/>
        <v>50</v>
      </c>
      <c r="BC19" s="164">
        <f t="shared" ca="1" si="30"/>
        <v>48</v>
      </c>
      <c r="BD19" s="164">
        <f t="shared" ca="1" si="31"/>
        <v>39</v>
      </c>
      <c r="BE19" s="164">
        <f t="shared" ca="1" si="32"/>
        <v>34</v>
      </c>
      <c r="BF19" s="169">
        <v>0.05</v>
      </c>
    </row>
    <row r="20" spans="3:58" ht="20.25" thickTop="1" thickBot="1" x14ac:dyDescent="0.35">
      <c r="C20" s="163">
        <v>16</v>
      </c>
      <c r="D20" s="164">
        <f t="shared" ca="1" si="17"/>
        <v>8</v>
      </c>
      <c r="E20" s="164">
        <f t="shared" ca="1" si="18"/>
        <v>4</v>
      </c>
      <c r="F20" s="189">
        <f t="shared" ca="1" si="19"/>
        <v>6.3769122751320619</v>
      </c>
      <c r="G20" s="169">
        <v>0.05</v>
      </c>
      <c r="P20" s="163">
        <v>16</v>
      </c>
      <c r="Q20" s="164">
        <f t="shared" ca="1" si="20"/>
        <v>7</v>
      </c>
      <c r="R20" s="164">
        <f t="shared" ca="1" si="21"/>
        <v>5</v>
      </c>
      <c r="S20" s="189">
        <f t="shared" ca="1" si="22"/>
        <v>6.5406954123195202</v>
      </c>
      <c r="T20" s="189">
        <f t="shared" ca="1" si="23"/>
        <v>10.142187950091312</v>
      </c>
      <c r="U20" s="169">
        <v>0.05</v>
      </c>
      <c r="AD20" s="163">
        <v>16</v>
      </c>
      <c r="AE20" s="164">
        <f t="shared" ca="1" si="24"/>
        <v>855</v>
      </c>
      <c r="AF20" s="164">
        <f t="shared" ca="1" si="25"/>
        <v>724</v>
      </c>
      <c r="AG20" s="169">
        <v>0.05</v>
      </c>
      <c r="AS20" s="163">
        <v>16</v>
      </c>
      <c r="AT20" s="164">
        <f t="shared" ca="1" si="26"/>
        <v>220</v>
      </c>
      <c r="AU20" s="164">
        <f t="shared" ca="1" si="27"/>
        <v>295</v>
      </c>
      <c r="AV20" s="164">
        <f t="shared" ca="1" si="28"/>
        <v>13</v>
      </c>
      <c r="AW20" s="164">
        <f t="shared" ca="1" si="29"/>
        <v>24</v>
      </c>
      <c r="AX20" s="169">
        <v>0.05</v>
      </c>
      <c r="BA20" s="163">
        <v>16</v>
      </c>
      <c r="BB20" s="164">
        <f t="shared" ca="1" si="30"/>
        <v>50</v>
      </c>
      <c r="BC20" s="164">
        <f t="shared" ca="1" si="30"/>
        <v>49</v>
      </c>
      <c r="BD20" s="164">
        <f t="shared" ca="1" si="31"/>
        <v>41</v>
      </c>
      <c r="BE20" s="164">
        <f t="shared" ca="1" si="32"/>
        <v>35</v>
      </c>
      <c r="BF20" s="169">
        <v>0.05</v>
      </c>
    </row>
    <row r="21" spans="3:58" ht="20.25" thickTop="1" thickBot="1" x14ac:dyDescent="0.35">
      <c r="C21" s="162">
        <v>17</v>
      </c>
      <c r="D21" s="164">
        <f t="shared" ca="1" si="17"/>
        <v>11</v>
      </c>
      <c r="E21" s="164">
        <f t="shared" ca="1" si="18"/>
        <v>6</v>
      </c>
      <c r="F21" s="189">
        <f t="shared" ca="1" si="19"/>
        <v>6.3824382466409686</v>
      </c>
      <c r="G21" s="169">
        <v>0.05</v>
      </c>
      <c r="P21" s="162">
        <v>17</v>
      </c>
      <c r="Q21" s="164">
        <f t="shared" ca="1" si="20"/>
        <v>7</v>
      </c>
      <c r="R21" s="164">
        <f t="shared" ca="1" si="21"/>
        <v>5</v>
      </c>
      <c r="S21" s="189">
        <f t="shared" ca="1" si="22"/>
        <v>6.3665672396947901</v>
      </c>
      <c r="T21" s="189">
        <f t="shared" ca="1" si="23"/>
        <v>10.767545364290505</v>
      </c>
      <c r="U21" s="169">
        <v>0.05</v>
      </c>
      <c r="AD21" s="162">
        <v>17</v>
      </c>
      <c r="AE21" s="164">
        <f t="shared" ca="1" si="24"/>
        <v>875</v>
      </c>
      <c r="AF21" s="164">
        <f t="shared" ca="1" si="25"/>
        <v>716</v>
      </c>
      <c r="AG21" s="169">
        <v>0.05</v>
      </c>
      <c r="AS21" s="162">
        <v>17</v>
      </c>
      <c r="AT21" s="164">
        <f t="shared" ca="1" si="26"/>
        <v>191</v>
      </c>
      <c r="AU21" s="164">
        <f t="shared" ca="1" si="27"/>
        <v>297</v>
      </c>
      <c r="AV21" s="164">
        <f t="shared" ca="1" si="28"/>
        <v>17</v>
      </c>
      <c r="AW21" s="164">
        <f t="shared" ca="1" si="29"/>
        <v>26</v>
      </c>
      <c r="AX21" s="169">
        <v>0.05</v>
      </c>
      <c r="BA21" s="162">
        <v>17</v>
      </c>
      <c r="BB21" s="164">
        <f t="shared" ca="1" si="30"/>
        <v>52</v>
      </c>
      <c r="BC21" s="164">
        <f t="shared" ca="1" si="30"/>
        <v>48</v>
      </c>
      <c r="BD21" s="164">
        <f t="shared" ca="1" si="31"/>
        <v>43</v>
      </c>
      <c r="BE21" s="164">
        <f t="shared" ca="1" si="32"/>
        <v>36</v>
      </c>
      <c r="BF21" s="169">
        <v>0.05</v>
      </c>
    </row>
    <row r="22" spans="3:58" ht="20.25" thickTop="1" thickBot="1" x14ac:dyDescent="0.35">
      <c r="C22" s="163">
        <v>18</v>
      </c>
      <c r="D22" s="164">
        <f t="shared" ca="1" si="17"/>
        <v>12</v>
      </c>
      <c r="E22" s="164">
        <f t="shared" ca="1" si="18"/>
        <v>5</v>
      </c>
      <c r="F22" s="189">
        <f t="shared" ca="1" si="19"/>
        <v>6.2381832594402811</v>
      </c>
      <c r="G22" s="169">
        <v>0.05</v>
      </c>
      <c r="P22" s="163">
        <v>18</v>
      </c>
      <c r="Q22" s="164">
        <f t="shared" ca="1" si="20"/>
        <v>9</v>
      </c>
      <c r="R22" s="164">
        <f t="shared" ca="1" si="21"/>
        <v>7</v>
      </c>
      <c r="S22" s="189">
        <f t="shared" ca="1" si="22"/>
        <v>6.5025531381894037</v>
      </c>
      <c r="T22" s="189">
        <f t="shared" ca="1" si="23"/>
        <v>10.113740715965749</v>
      </c>
      <c r="U22" s="169">
        <v>0.05</v>
      </c>
      <c r="AD22" s="163">
        <v>18</v>
      </c>
      <c r="AE22" s="164">
        <f t="shared" ca="1" si="24"/>
        <v>897</v>
      </c>
      <c r="AF22" s="164">
        <f t="shared" ca="1" si="25"/>
        <v>574</v>
      </c>
      <c r="AG22" s="169">
        <v>0.05</v>
      </c>
      <c r="AS22" s="163">
        <v>18</v>
      </c>
      <c r="AT22" s="164">
        <f t="shared" ca="1" si="26"/>
        <v>190</v>
      </c>
      <c r="AU22" s="164">
        <f t="shared" ca="1" si="27"/>
        <v>298</v>
      </c>
      <c r="AV22" s="164">
        <f t="shared" ca="1" si="28"/>
        <v>14</v>
      </c>
      <c r="AW22" s="164">
        <f t="shared" ca="1" si="29"/>
        <v>26</v>
      </c>
      <c r="AX22" s="169">
        <v>0.05</v>
      </c>
      <c r="BA22" s="163">
        <v>18</v>
      </c>
      <c r="BB22" s="164">
        <f t="shared" ca="1" si="30"/>
        <v>48</v>
      </c>
      <c r="BC22" s="164">
        <f t="shared" ca="1" si="30"/>
        <v>52</v>
      </c>
      <c r="BD22" s="164">
        <f t="shared" ca="1" si="31"/>
        <v>42</v>
      </c>
      <c r="BE22" s="164">
        <f t="shared" ca="1" si="32"/>
        <v>36</v>
      </c>
      <c r="BF22" s="169">
        <v>0.05</v>
      </c>
    </row>
    <row r="23" spans="3:58" ht="20.25" thickTop="1" thickBot="1" x14ac:dyDescent="0.35">
      <c r="C23" s="162">
        <v>19</v>
      </c>
      <c r="D23" s="164">
        <f t="shared" ca="1" si="17"/>
        <v>9</v>
      </c>
      <c r="E23" s="164">
        <f t="shared" ca="1" si="18"/>
        <v>4</v>
      </c>
      <c r="F23" s="189">
        <f t="shared" ca="1" si="19"/>
        <v>6.1557679582999141</v>
      </c>
      <c r="G23" s="169">
        <v>0.05</v>
      </c>
      <c r="P23" s="162">
        <v>19</v>
      </c>
      <c r="Q23" s="164">
        <f t="shared" ca="1" si="20"/>
        <v>5</v>
      </c>
      <c r="R23" s="164">
        <f t="shared" ca="1" si="21"/>
        <v>3</v>
      </c>
      <c r="S23" s="189">
        <f t="shared" ca="1" si="22"/>
        <v>6.0632933701135281</v>
      </c>
      <c r="T23" s="189">
        <f t="shared" ca="1" si="23"/>
        <v>10.558308653262207</v>
      </c>
      <c r="U23" s="169">
        <v>0.05</v>
      </c>
      <c r="AD23" s="162">
        <v>19</v>
      </c>
      <c r="AE23" s="164">
        <f t="shared" ca="1" si="24"/>
        <v>925</v>
      </c>
      <c r="AF23" s="164">
        <f t="shared" ca="1" si="25"/>
        <v>572</v>
      </c>
      <c r="AG23" s="169">
        <v>0.05</v>
      </c>
      <c r="AS23" s="162">
        <v>19</v>
      </c>
      <c r="AT23" s="164">
        <f t="shared" ca="1" si="26"/>
        <v>185</v>
      </c>
      <c r="AU23" s="164">
        <f t="shared" ca="1" si="27"/>
        <v>318</v>
      </c>
      <c r="AV23" s="164">
        <f t="shared" ca="1" si="28"/>
        <v>18</v>
      </c>
      <c r="AW23" s="164">
        <f t="shared" ca="1" si="29"/>
        <v>25</v>
      </c>
      <c r="AX23" s="169">
        <v>0.05</v>
      </c>
      <c r="BA23" s="162">
        <v>19</v>
      </c>
      <c r="BB23" s="164">
        <f t="shared" ca="1" si="30"/>
        <v>52</v>
      </c>
      <c r="BC23" s="164">
        <f t="shared" ca="1" si="30"/>
        <v>51</v>
      </c>
      <c r="BD23" s="164">
        <f t="shared" ca="1" si="31"/>
        <v>41</v>
      </c>
      <c r="BE23" s="164">
        <f t="shared" ca="1" si="32"/>
        <v>36</v>
      </c>
      <c r="BF23" s="169">
        <v>0.05</v>
      </c>
    </row>
    <row r="24" spans="3:58" ht="20.25" thickTop="1" thickBot="1" x14ac:dyDescent="0.35">
      <c r="C24" s="163">
        <v>20</v>
      </c>
      <c r="D24" s="164">
        <f t="shared" ca="1" si="17"/>
        <v>8</v>
      </c>
      <c r="E24" s="164">
        <f t="shared" ca="1" si="18"/>
        <v>5</v>
      </c>
      <c r="F24" s="189">
        <f t="shared" ca="1" si="19"/>
        <v>6.3801850200833599</v>
      </c>
      <c r="G24" s="169">
        <v>0.05</v>
      </c>
      <c r="P24" s="163">
        <v>20</v>
      </c>
      <c r="Q24" s="164">
        <f t="shared" ca="1" si="20"/>
        <v>6</v>
      </c>
      <c r="R24" s="164">
        <f t="shared" ca="1" si="21"/>
        <v>3</v>
      </c>
      <c r="S24" s="189">
        <f t="shared" ca="1" si="22"/>
        <v>6.1967488023873338</v>
      </c>
      <c r="T24" s="189">
        <f t="shared" ca="1" si="23"/>
        <v>10.023690015912191</v>
      </c>
      <c r="U24" s="169">
        <v>0.05</v>
      </c>
      <c r="AD24" s="163">
        <v>20</v>
      </c>
      <c r="AE24" s="164">
        <f t="shared" ca="1" si="24"/>
        <v>808</v>
      </c>
      <c r="AF24" s="164">
        <f t="shared" ca="1" si="25"/>
        <v>599</v>
      </c>
      <c r="AG24" s="169">
        <v>0.05</v>
      </c>
      <c r="AS24" s="163">
        <v>20</v>
      </c>
      <c r="AT24" s="164">
        <f t="shared" ca="1" si="26"/>
        <v>195</v>
      </c>
      <c r="AU24" s="164">
        <f t="shared" ca="1" si="27"/>
        <v>291</v>
      </c>
      <c r="AV24" s="164">
        <f t="shared" ca="1" si="28"/>
        <v>10</v>
      </c>
      <c r="AW24" s="164">
        <f t="shared" ca="1" si="29"/>
        <v>27</v>
      </c>
      <c r="AX24" s="169">
        <v>0.05</v>
      </c>
      <c r="BA24" s="163">
        <v>20</v>
      </c>
      <c r="BB24" s="164">
        <f t="shared" ca="1" si="30"/>
        <v>49</v>
      </c>
      <c r="BC24" s="164">
        <f t="shared" ca="1" si="30"/>
        <v>50</v>
      </c>
      <c r="BD24" s="164">
        <f t="shared" ca="1" si="31"/>
        <v>41</v>
      </c>
      <c r="BE24" s="164">
        <f t="shared" ca="1" si="32"/>
        <v>37</v>
      </c>
      <c r="BF24" s="169">
        <v>0.05</v>
      </c>
    </row>
    <row r="25" spans="3:58" ht="20.25" thickTop="1" thickBot="1" x14ac:dyDescent="0.35">
      <c r="C25" s="162">
        <v>21</v>
      </c>
      <c r="D25" s="164">
        <f t="shared" ca="1" si="17"/>
        <v>12</v>
      </c>
      <c r="E25" s="164">
        <f t="shared" ca="1" si="18"/>
        <v>6</v>
      </c>
      <c r="F25" s="189">
        <f t="shared" ca="1" si="19"/>
        <v>6.3567106247151761</v>
      </c>
      <c r="G25" s="169">
        <v>0.05</v>
      </c>
      <c r="P25" s="162">
        <v>21</v>
      </c>
      <c r="Q25" s="164">
        <f t="shared" ca="1" si="20"/>
        <v>5</v>
      </c>
      <c r="R25" s="164">
        <f t="shared" ca="1" si="21"/>
        <v>5</v>
      </c>
      <c r="S25" s="189">
        <f t="shared" ca="1" si="22"/>
        <v>6.1759526324014447</v>
      </c>
      <c r="T25" s="189">
        <f t="shared" ca="1" si="23"/>
        <v>10.630446811356608</v>
      </c>
      <c r="U25" s="169">
        <v>0.05</v>
      </c>
      <c r="AD25" s="162">
        <v>21</v>
      </c>
      <c r="AE25" s="164">
        <f t="shared" ca="1" si="24"/>
        <v>865</v>
      </c>
      <c r="AF25" s="164">
        <f t="shared" ca="1" si="25"/>
        <v>745</v>
      </c>
      <c r="AG25" s="169">
        <v>0.05</v>
      </c>
      <c r="AS25" s="162">
        <v>21</v>
      </c>
      <c r="AT25" s="164">
        <f t="shared" ca="1" si="26"/>
        <v>190</v>
      </c>
      <c r="AU25" s="164">
        <f t="shared" ca="1" si="27"/>
        <v>304</v>
      </c>
      <c r="AV25" s="164">
        <f t="shared" ca="1" si="28"/>
        <v>15</v>
      </c>
      <c r="AW25" s="164">
        <f t="shared" ca="1" si="29"/>
        <v>28</v>
      </c>
      <c r="AX25" s="169">
        <v>0.05</v>
      </c>
      <c r="BA25" s="162">
        <v>21</v>
      </c>
      <c r="BB25" s="164">
        <f t="shared" ca="1" si="30"/>
        <v>52</v>
      </c>
      <c r="BC25" s="164">
        <f t="shared" ca="1" si="30"/>
        <v>48</v>
      </c>
      <c r="BD25" s="164">
        <f t="shared" ca="1" si="31"/>
        <v>38</v>
      </c>
      <c r="BE25" s="164">
        <f t="shared" ca="1" si="32"/>
        <v>40</v>
      </c>
      <c r="BF25" s="169">
        <v>0.05</v>
      </c>
    </row>
    <row r="26" spans="3:58" ht="20.25" thickTop="1" thickBot="1" x14ac:dyDescent="0.35">
      <c r="C26" s="163">
        <v>22</v>
      </c>
      <c r="D26" s="164">
        <f t="shared" ca="1" si="17"/>
        <v>11</v>
      </c>
      <c r="E26" s="164">
        <f t="shared" ca="1" si="18"/>
        <v>5</v>
      </c>
      <c r="F26" s="189">
        <f t="shared" ca="1" si="19"/>
        <v>6.0960481173450214</v>
      </c>
      <c r="G26" s="169">
        <v>0.05</v>
      </c>
      <c r="P26" s="163">
        <v>22</v>
      </c>
      <c r="Q26" s="164">
        <f t="shared" ca="1" si="20"/>
        <v>5</v>
      </c>
      <c r="R26" s="164">
        <f t="shared" ca="1" si="21"/>
        <v>7</v>
      </c>
      <c r="S26" s="189">
        <f t="shared" ca="1" si="22"/>
        <v>6.4399492654037855</v>
      </c>
      <c r="T26" s="189">
        <f t="shared" ca="1" si="23"/>
        <v>10.380213532105163</v>
      </c>
      <c r="U26" s="169">
        <v>0.05</v>
      </c>
      <c r="AD26" s="163">
        <v>22</v>
      </c>
      <c r="AE26" s="164">
        <f t="shared" ca="1" si="24"/>
        <v>807</v>
      </c>
      <c r="AF26" s="164">
        <f t="shared" ca="1" si="25"/>
        <v>557</v>
      </c>
      <c r="AG26" s="169">
        <v>0.05</v>
      </c>
      <c r="AS26" s="163">
        <v>22</v>
      </c>
      <c r="AT26" s="164">
        <f t="shared" ca="1" si="26"/>
        <v>219</v>
      </c>
      <c r="AU26" s="164">
        <f t="shared" ca="1" si="27"/>
        <v>303</v>
      </c>
      <c r="AV26" s="164">
        <f t="shared" ca="1" si="28"/>
        <v>10</v>
      </c>
      <c r="AW26" s="164">
        <f t="shared" ca="1" si="29"/>
        <v>24</v>
      </c>
      <c r="AX26" s="169">
        <v>0.05</v>
      </c>
      <c r="BA26" s="163">
        <v>22</v>
      </c>
      <c r="BB26" s="164">
        <f t="shared" ca="1" si="30"/>
        <v>52</v>
      </c>
      <c r="BC26" s="164">
        <f t="shared" ca="1" si="30"/>
        <v>52</v>
      </c>
      <c r="BD26" s="164">
        <f t="shared" ca="1" si="31"/>
        <v>37</v>
      </c>
      <c r="BE26" s="164">
        <f t="shared" ca="1" si="32"/>
        <v>35</v>
      </c>
      <c r="BF26" s="169">
        <v>0.05</v>
      </c>
    </row>
    <row r="27" spans="3:58" ht="20.25" thickTop="1" thickBot="1" x14ac:dyDescent="0.35">
      <c r="C27" s="162">
        <v>23</v>
      </c>
      <c r="D27" s="164">
        <f t="shared" ca="1" si="17"/>
        <v>9</v>
      </c>
      <c r="E27" s="164">
        <f t="shared" ca="1" si="18"/>
        <v>4</v>
      </c>
      <c r="F27" s="189">
        <f t="shared" ca="1" si="19"/>
        <v>6.2326717392040276</v>
      </c>
      <c r="G27" s="169">
        <v>0.05</v>
      </c>
      <c r="P27" s="162">
        <v>23</v>
      </c>
      <c r="Q27" s="164">
        <f t="shared" ca="1" si="20"/>
        <v>6</v>
      </c>
      <c r="R27" s="164">
        <f t="shared" ca="1" si="21"/>
        <v>3</v>
      </c>
      <c r="S27" s="189">
        <f t="shared" ca="1" si="22"/>
        <v>6.4017023262978894</v>
      </c>
      <c r="T27" s="189">
        <f t="shared" ca="1" si="23"/>
        <v>9.9568178833034597</v>
      </c>
      <c r="U27" s="169">
        <v>0.05</v>
      </c>
      <c r="AD27" s="162">
        <v>23</v>
      </c>
      <c r="AE27" s="164">
        <f t="shared" ca="1" si="24"/>
        <v>907</v>
      </c>
      <c r="AF27" s="164">
        <f t="shared" ca="1" si="25"/>
        <v>741</v>
      </c>
      <c r="AG27" s="169">
        <v>0.05</v>
      </c>
      <c r="AS27" s="162">
        <v>23</v>
      </c>
      <c r="AT27" s="164">
        <f t="shared" ca="1" si="26"/>
        <v>214</v>
      </c>
      <c r="AU27" s="164">
        <f t="shared" ca="1" si="27"/>
        <v>287</v>
      </c>
      <c r="AV27" s="164">
        <f t="shared" ca="1" si="28"/>
        <v>16</v>
      </c>
      <c r="AW27" s="164">
        <f t="shared" ca="1" si="29"/>
        <v>27</v>
      </c>
      <c r="AX27" s="169">
        <v>0.05</v>
      </c>
      <c r="BA27" s="162">
        <v>23</v>
      </c>
      <c r="BB27" s="164">
        <f t="shared" ca="1" si="30"/>
        <v>50</v>
      </c>
      <c r="BC27" s="164">
        <f t="shared" ca="1" si="30"/>
        <v>52</v>
      </c>
      <c r="BD27" s="164">
        <f t="shared" ca="1" si="31"/>
        <v>40</v>
      </c>
      <c r="BE27" s="164">
        <f t="shared" ca="1" si="32"/>
        <v>39</v>
      </c>
      <c r="BF27" s="169">
        <v>0.05</v>
      </c>
    </row>
    <row r="28" spans="3:58" ht="20.25" thickTop="1" thickBot="1" x14ac:dyDescent="0.35">
      <c r="C28" s="163">
        <v>24</v>
      </c>
      <c r="D28" s="164">
        <f t="shared" ca="1" si="17"/>
        <v>11</v>
      </c>
      <c r="E28" s="164">
        <f t="shared" ca="1" si="18"/>
        <v>7</v>
      </c>
      <c r="F28" s="189">
        <f t="shared" ca="1" si="19"/>
        <v>6.1391410732729588</v>
      </c>
      <c r="G28" s="169">
        <v>0.05</v>
      </c>
      <c r="P28" s="163">
        <v>24</v>
      </c>
      <c r="Q28" s="164">
        <f t="shared" ca="1" si="20"/>
        <v>6</v>
      </c>
      <c r="R28" s="164">
        <f t="shared" ca="1" si="21"/>
        <v>4</v>
      </c>
      <c r="S28" s="189">
        <f t="shared" ca="1" si="22"/>
        <v>6.4490362902265517</v>
      </c>
      <c r="T28" s="189">
        <f t="shared" ca="1" si="23"/>
        <v>10.749467876851218</v>
      </c>
      <c r="U28" s="169">
        <v>0.05</v>
      </c>
      <c r="AD28" s="163">
        <v>24</v>
      </c>
      <c r="AE28" s="164">
        <f t="shared" ca="1" si="24"/>
        <v>856</v>
      </c>
      <c r="AF28" s="164">
        <f t="shared" ca="1" si="25"/>
        <v>671</v>
      </c>
      <c r="AG28" s="169">
        <v>0.05</v>
      </c>
      <c r="AS28" s="163">
        <v>24</v>
      </c>
      <c r="AT28" s="164">
        <f t="shared" ca="1" si="26"/>
        <v>194</v>
      </c>
      <c r="AU28" s="164">
        <f t="shared" ca="1" si="27"/>
        <v>315</v>
      </c>
      <c r="AV28" s="164">
        <f t="shared" ca="1" si="28"/>
        <v>12</v>
      </c>
      <c r="AW28" s="164">
        <f t="shared" ca="1" si="29"/>
        <v>28</v>
      </c>
      <c r="AX28" s="169">
        <v>0.05</v>
      </c>
      <c r="BA28" s="163">
        <v>24</v>
      </c>
      <c r="BB28" s="164">
        <f t="shared" ca="1" si="30"/>
        <v>48</v>
      </c>
      <c r="BC28" s="164">
        <f t="shared" ca="1" si="30"/>
        <v>50</v>
      </c>
      <c r="BD28" s="164">
        <f t="shared" ca="1" si="31"/>
        <v>39</v>
      </c>
      <c r="BE28" s="164">
        <f t="shared" ca="1" si="32"/>
        <v>40</v>
      </c>
      <c r="BF28" s="169">
        <v>0.05</v>
      </c>
    </row>
    <row r="29" spans="3:58" ht="20.25" thickTop="1" thickBot="1" x14ac:dyDescent="0.35">
      <c r="C29" s="162">
        <v>25</v>
      </c>
      <c r="D29" s="164">
        <f t="shared" ca="1" si="17"/>
        <v>10</v>
      </c>
      <c r="E29" s="164">
        <f t="shared" ca="1" si="18"/>
        <v>7</v>
      </c>
      <c r="F29" s="189">
        <f t="shared" ca="1" si="19"/>
        <v>6.3994300116200504</v>
      </c>
      <c r="G29" s="169">
        <v>0.05</v>
      </c>
      <c r="P29" s="162">
        <v>25</v>
      </c>
      <c r="Q29" s="164">
        <f t="shared" ca="1" si="20"/>
        <v>6</v>
      </c>
      <c r="R29" s="164">
        <f t="shared" ca="1" si="21"/>
        <v>6</v>
      </c>
      <c r="S29" s="189">
        <f t="shared" ca="1" si="22"/>
        <v>6.3008958587853616</v>
      </c>
      <c r="T29" s="189">
        <f t="shared" ca="1" si="23"/>
        <v>10.505361696358976</v>
      </c>
      <c r="U29" s="169">
        <v>0.05</v>
      </c>
      <c r="AD29" s="162">
        <v>25</v>
      </c>
      <c r="AE29" s="164">
        <f t="shared" ca="1" si="24"/>
        <v>877</v>
      </c>
      <c r="AF29" s="164">
        <f t="shared" ca="1" si="25"/>
        <v>549</v>
      </c>
      <c r="AG29" s="169">
        <v>0.05</v>
      </c>
      <c r="AS29" s="162">
        <v>25</v>
      </c>
      <c r="AT29" s="164">
        <f t="shared" ca="1" si="26"/>
        <v>197</v>
      </c>
      <c r="AU29" s="164">
        <f t="shared" ca="1" si="27"/>
        <v>320</v>
      </c>
      <c r="AV29" s="164">
        <f t="shared" ca="1" si="28"/>
        <v>18</v>
      </c>
      <c r="AW29" s="164">
        <f t="shared" ca="1" si="29"/>
        <v>30</v>
      </c>
      <c r="AX29" s="169">
        <v>0.05</v>
      </c>
      <c r="BA29" s="162">
        <v>25</v>
      </c>
      <c r="BB29" s="164">
        <f t="shared" ca="1" si="30"/>
        <v>48</v>
      </c>
      <c r="BC29" s="164">
        <f t="shared" ca="1" si="30"/>
        <v>52</v>
      </c>
      <c r="BD29" s="164">
        <f t="shared" ca="1" si="31"/>
        <v>38</v>
      </c>
      <c r="BE29" s="164">
        <f t="shared" ca="1" si="32"/>
        <v>39</v>
      </c>
      <c r="BF29" s="169">
        <v>0.05</v>
      </c>
    </row>
    <row r="30" spans="3:58" ht="20.25" thickTop="1" thickBot="1" x14ac:dyDescent="0.35">
      <c r="C30" s="163">
        <v>26</v>
      </c>
      <c r="D30" s="164">
        <f t="shared" ca="1" si="17"/>
        <v>10</v>
      </c>
      <c r="E30" s="164">
        <f t="shared" ca="1" si="18"/>
        <v>7</v>
      </c>
      <c r="F30" s="189">
        <f t="shared" ca="1" si="19"/>
        <v>6.1635511291599698</v>
      </c>
      <c r="G30" s="169">
        <v>0.05</v>
      </c>
      <c r="P30" s="163">
        <v>26</v>
      </c>
      <c r="Q30" s="164">
        <f t="shared" ca="1" si="20"/>
        <v>8</v>
      </c>
      <c r="R30" s="164">
        <f t="shared" ca="1" si="21"/>
        <v>3</v>
      </c>
      <c r="S30" s="189">
        <f t="shared" ca="1" si="22"/>
        <v>6.5506092970359493</v>
      </c>
      <c r="T30" s="189">
        <f t="shared" ca="1" si="23"/>
        <v>10.647116104461457</v>
      </c>
      <c r="U30" s="169">
        <v>0.05</v>
      </c>
      <c r="AD30" s="163">
        <v>26</v>
      </c>
      <c r="AE30" s="164">
        <f t="shared" ca="1" si="24"/>
        <v>943</v>
      </c>
      <c r="AF30" s="164">
        <f t="shared" ca="1" si="25"/>
        <v>737</v>
      </c>
      <c r="AG30" s="169">
        <v>0.05</v>
      </c>
      <c r="AS30" s="163">
        <v>26</v>
      </c>
      <c r="AT30" s="164">
        <f t="shared" ca="1" si="26"/>
        <v>213</v>
      </c>
      <c r="AU30" s="164">
        <f t="shared" ca="1" si="27"/>
        <v>289</v>
      </c>
      <c r="AV30" s="164">
        <f t="shared" ca="1" si="28"/>
        <v>16</v>
      </c>
      <c r="AW30" s="164">
        <f t="shared" ca="1" si="29"/>
        <v>27</v>
      </c>
      <c r="AX30" s="169">
        <v>0.05</v>
      </c>
      <c r="BA30" s="163">
        <v>26</v>
      </c>
      <c r="BB30" s="164">
        <f t="shared" ca="1" si="30"/>
        <v>52</v>
      </c>
      <c r="BC30" s="164">
        <f t="shared" ca="1" si="30"/>
        <v>48</v>
      </c>
      <c r="BD30" s="164">
        <f t="shared" ca="1" si="31"/>
        <v>43</v>
      </c>
      <c r="BE30" s="164">
        <f t="shared" ca="1" si="32"/>
        <v>37</v>
      </c>
      <c r="BF30" s="169">
        <v>0.05</v>
      </c>
    </row>
    <row r="31" spans="3:58" ht="16.5" thickTop="1" thickBot="1" x14ac:dyDescent="0.3"/>
    <row r="32" spans="3:58" ht="42" thickTop="1" thickBot="1" x14ac:dyDescent="0.3">
      <c r="I32" s="186" t="s">
        <v>204</v>
      </c>
      <c r="J32" s="200" t="s">
        <v>334</v>
      </c>
      <c r="K32" s="200" t="s">
        <v>335</v>
      </c>
      <c r="L32" s="201" t="s">
        <v>336</v>
      </c>
      <c r="N32" s="186" t="s">
        <v>204</v>
      </c>
      <c r="O32" s="200" t="s">
        <v>334</v>
      </c>
      <c r="P32" s="200" t="s">
        <v>335</v>
      </c>
      <c r="Q32" s="201" t="s">
        <v>336</v>
      </c>
      <c r="S32" s="186" t="s">
        <v>204</v>
      </c>
      <c r="T32" s="200" t="s">
        <v>334</v>
      </c>
      <c r="U32" s="200" t="s">
        <v>335</v>
      </c>
      <c r="V32" s="201" t="s">
        <v>336</v>
      </c>
    </row>
    <row r="33" spans="3:22" ht="21.75" thickTop="1" thickBot="1" x14ac:dyDescent="0.35">
      <c r="C33" s="198"/>
      <c r="I33" s="275">
        <v>1</v>
      </c>
      <c r="J33" s="199">
        <v>2</v>
      </c>
      <c r="K33" s="199">
        <f ca="1">RANDBETWEEN(2,9)</f>
        <v>5</v>
      </c>
      <c r="L33" s="199">
        <f ca="1">RANDBETWEEN(1,10)</f>
        <v>7</v>
      </c>
      <c r="N33" s="275">
        <v>11</v>
      </c>
      <c r="O33" s="199">
        <v>2</v>
      </c>
      <c r="P33" s="199">
        <f t="shared" ref="P33:P72" ca="1" si="33">RANDBETWEEN(2,9)</f>
        <v>9</v>
      </c>
      <c r="Q33" s="199">
        <f t="shared" ref="Q33:Q72" ca="1" si="34">RANDBETWEEN(1,10)</f>
        <v>2</v>
      </c>
      <c r="S33" s="275">
        <v>21</v>
      </c>
      <c r="T33" s="199">
        <v>2</v>
      </c>
      <c r="U33" s="199">
        <f t="shared" ref="U33:U56" ca="1" si="35">RANDBETWEEN(2,9)</f>
        <v>6</v>
      </c>
      <c r="V33" s="199">
        <f t="shared" ref="V33:V56" ca="1" si="36">RANDBETWEEN(1,10)</f>
        <v>8</v>
      </c>
    </row>
    <row r="34" spans="3:22" ht="21.75" thickTop="1" thickBot="1" x14ac:dyDescent="0.35">
      <c r="I34" s="276"/>
      <c r="J34" s="199">
        <v>3</v>
      </c>
      <c r="K34" s="199">
        <f t="shared" ref="K34:K97" ca="1" si="37">RANDBETWEEN(2,9)</f>
        <v>3</v>
      </c>
      <c r="L34" s="199">
        <f t="shared" ref="L34:L97" ca="1" si="38">RANDBETWEEN(1,10)</f>
        <v>1</v>
      </c>
      <c r="N34" s="276"/>
      <c r="O34" s="199">
        <v>3</v>
      </c>
      <c r="P34" s="199">
        <f t="shared" ca="1" si="33"/>
        <v>8</v>
      </c>
      <c r="Q34" s="199">
        <f t="shared" ca="1" si="34"/>
        <v>10</v>
      </c>
      <c r="S34" s="276"/>
      <c r="T34" s="199">
        <v>3</v>
      </c>
      <c r="U34" s="199">
        <f t="shared" ca="1" si="35"/>
        <v>9</v>
      </c>
      <c r="V34" s="199">
        <f t="shared" ca="1" si="36"/>
        <v>4</v>
      </c>
    </row>
    <row r="35" spans="3:22" ht="21.75" thickTop="1" thickBot="1" x14ac:dyDescent="0.35">
      <c r="I35" s="276"/>
      <c r="J35" s="199">
        <v>4</v>
      </c>
      <c r="K35" s="199">
        <f t="shared" ca="1" si="37"/>
        <v>3</v>
      </c>
      <c r="L35" s="199">
        <f t="shared" ca="1" si="38"/>
        <v>8</v>
      </c>
      <c r="N35" s="276"/>
      <c r="O35" s="199">
        <v>4</v>
      </c>
      <c r="P35" s="199">
        <f t="shared" ca="1" si="33"/>
        <v>5</v>
      </c>
      <c r="Q35" s="199">
        <f t="shared" ca="1" si="34"/>
        <v>5</v>
      </c>
      <c r="S35" s="276"/>
      <c r="T35" s="199">
        <v>4</v>
      </c>
      <c r="U35" s="199">
        <f t="shared" ca="1" si="35"/>
        <v>9</v>
      </c>
      <c r="V35" s="199">
        <f t="shared" ca="1" si="36"/>
        <v>5</v>
      </c>
    </row>
    <row r="36" spans="3:22" ht="21.75" thickTop="1" thickBot="1" x14ac:dyDescent="0.35">
      <c r="I36" s="277"/>
      <c r="J36" s="199">
        <v>5</v>
      </c>
      <c r="K36" s="199">
        <f t="shared" ca="1" si="37"/>
        <v>9</v>
      </c>
      <c r="L36" s="199">
        <f t="shared" ca="1" si="38"/>
        <v>1</v>
      </c>
      <c r="N36" s="277"/>
      <c r="O36" s="199">
        <v>5</v>
      </c>
      <c r="P36" s="199">
        <f t="shared" ca="1" si="33"/>
        <v>3</v>
      </c>
      <c r="Q36" s="199">
        <f t="shared" ca="1" si="34"/>
        <v>7</v>
      </c>
      <c r="S36" s="277"/>
      <c r="T36" s="199">
        <v>5</v>
      </c>
      <c r="U36" s="199">
        <f t="shared" ca="1" si="35"/>
        <v>3</v>
      </c>
      <c r="V36" s="199">
        <f t="shared" ca="1" si="36"/>
        <v>9</v>
      </c>
    </row>
    <row r="37" spans="3:22" ht="21.75" thickTop="1" thickBot="1" x14ac:dyDescent="0.35">
      <c r="I37" s="275">
        <v>2</v>
      </c>
      <c r="J37" s="199">
        <v>2</v>
      </c>
      <c r="K37" s="199">
        <f t="shared" ca="1" si="37"/>
        <v>9</v>
      </c>
      <c r="L37" s="199">
        <f t="shared" ca="1" si="38"/>
        <v>4</v>
      </c>
      <c r="N37" s="275">
        <v>12</v>
      </c>
      <c r="O37" s="199">
        <v>2</v>
      </c>
      <c r="P37" s="199">
        <f t="shared" ca="1" si="33"/>
        <v>7</v>
      </c>
      <c r="Q37" s="199">
        <f t="shared" ca="1" si="34"/>
        <v>9</v>
      </c>
      <c r="S37" s="275">
        <v>22</v>
      </c>
      <c r="T37" s="199">
        <v>2</v>
      </c>
      <c r="U37" s="199">
        <f t="shared" ca="1" si="35"/>
        <v>7</v>
      </c>
      <c r="V37" s="199">
        <f t="shared" ca="1" si="36"/>
        <v>6</v>
      </c>
    </row>
    <row r="38" spans="3:22" ht="21.75" thickTop="1" thickBot="1" x14ac:dyDescent="0.35">
      <c r="I38" s="276"/>
      <c r="J38" s="199">
        <v>3</v>
      </c>
      <c r="K38" s="199">
        <f t="shared" ca="1" si="37"/>
        <v>2</v>
      </c>
      <c r="L38" s="199">
        <f t="shared" ca="1" si="38"/>
        <v>3</v>
      </c>
      <c r="N38" s="276"/>
      <c r="O38" s="199">
        <v>3</v>
      </c>
      <c r="P38" s="199">
        <f t="shared" ca="1" si="33"/>
        <v>4</v>
      </c>
      <c r="Q38" s="199">
        <f t="shared" ca="1" si="34"/>
        <v>3</v>
      </c>
      <c r="S38" s="276"/>
      <c r="T38" s="199">
        <v>3</v>
      </c>
      <c r="U38" s="199">
        <f t="shared" ca="1" si="35"/>
        <v>9</v>
      </c>
      <c r="V38" s="199">
        <f t="shared" ca="1" si="36"/>
        <v>4</v>
      </c>
    </row>
    <row r="39" spans="3:22" ht="21.75" thickTop="1" thickBot="1" x14ac:dyDescent="0.35">
      <c r="I39" s="276"/>
      <c r="J39" s="199">
        <v>4</v>
      </c>
      <c r="K39" s="199">
        <f t="shared" ca="1" si="37"/>
        <v>9</v>
      </c>
      <c r="L39" s="199">
        <f t="shared" ca="1" si="38"/>
        <v>6</v>
      </c>
      <c r="N39" s="276"/>
      <c r="O39" s="199">
        <v>4</v>
      </c>
      <c r="P39" s="199">
        <f t="shared" ca="1" si="33"/>
        <v>4</v>
      </c>
      <c r="Q39" s="199">
        <f t="shared" ca="1" si="34"/>
        <v>9</v>
      </c>
      <c r="S39" s="276"/>
      <c r="T39" s="199">
        <v>4</v>
      </c>
      <c r="U39" s="199">
        <f t="shared" ca="1" si="35"/>
        <v>7</v>
      </c>
      <c r="V39" s="199">
        <f t="shared" ca="1" si="36"/>
        <v>9</v>
      </c>
    </row>
    <row r="40" spans="3:22" ht="21.75" thickTop="1" thickBot="1" x14ac:dyDescent="0.35">
      <c r="I40" s="277"/>
      <c r="J40" s="199">
        <v>5</v>
      </c>
      <c r="K40" s="199">
        <f t="shared" ca="1" si="37"/>
        <v>6</v>
      </c>
      <c r="L40" s="199">
        <f t="shared" ca="1" si="38"/>
        <v>10</v>
      </c>
      <c r="N40" s="277"/>
      <c r="O40" s="199">
        <v>5</v>
      </c>
      <c r="P40" s="199">
        <f t="shared" ca="1" si="33"/>
        <v>8</v>
      </c>
      <c r="Q40" s="199">
        <f t="shared" ca="1" si="34"/>
        <v>2</v>
      </c>
      <c r="S40" s="277"/>
      <c r="T40" s="199">
        <v>5</v>
      </c>
      <c r="U40" s="199">
        <f t="shared" ca="1" si="35"/>
        <v>6</v>
      </c>
      <c r="V40" s="199">
        <f t="shared" ca="1" si="36"/>
        <v>8</v>
      </c>
    </row>
    <row r="41" spans="3:22" ht="21.75" thickTop="1" thickBot="1" x14ac:dyDescent="0.35">
      <c r="I41" s="275">
        <v>3</v>
      </c>
      <c r="J41" s="199">
        <v>2</v>
      </c>
      <c r="K41" s="199">
        <f t="shared" ca="1" si="37"/>
        <v>5</v>
      </c>
      <c r="L41" s="199">
        <f t="shared" ca="1" si="38"/>
        <v>3</v>
      </c>
      <c r="N41" s="275">
        <v>13</v>
      </c>
      <c r="O41" s="199">
        <v>2</v>
      </c>
      <c r="P41" s="199">
        <f t="shared" ca="1" si="33"/>
        <v>7</v>
      </c>
      <c r="Q41" s="199">
        <f t="shared" ca="1" si="34"/>
        <v>3</v>
      </c>
      <c r="S41" s="275">
        <v>23</v>
      </c>
      <c r="T41" s="199">
        <v>2</v>
      </c>
      <c r="U41" s="199">
        <f t="shared" ca="1" si="35"/>
        <v>3</v>
      </c>
      <c r="V41" s="199">
        <f t="shared" ca="1" si="36"/>
        <v>10</v>
      </c>
    </row>
    <row r="42" spans="3:22" ht="21.75" thickTop="1" thickBot="1" x14ac:dyDescent="0.35">
      <c r="I42" s="276"/>
      <c r="J42" s="199">
        <v>3</v>
      </c>
      <c r="K42" s="199">
        <f t="shared" ca="1" si="37"/>
        <v>9</v>
      </c>
      <c r="L42" s="199">
        <f t="shared" ca="1" si="38"/>
        <v>3</v>
      </c>
      <c r="N42" s="276"/>
      <c r="O42" s="199">
        <v>3</v>
      </c>
      <c r="P42" s="199">
        <f t="shared" ca="1" si="33"/>
        <v>9</v>
      </c>
      <c r="Q42" s="199">
        <f t="shared" ca="1" si="34"/>
        <v>5</v>
      </c>
      <c r="S42" s="276"/>
      <c r="T42" s="199">
        <v>3</v>
      </c>
      <c r="U42" s="199">
        <f t="shared" ca="1" si="35"/>
        <v>5</v>
      </c>
      <c r="V42" s="199">
        <f t="shared" ca="1" si="36"/>
        <v>10</v>
      </c>
    </row>
    <row r="43" spans="3:22" ht="21.75" thickTop="1" thickBot="1" x14ac:dyDescent="0.35">
      <c r="I43" s="276"/>
      <c r="J43" s="199">
        <v>4</v>
      </c>
      <c r="K43" s="199">
        <f t="shared" ca="1" si="37"/>
        <v>2</v>
      </c>
      <c r="L43" s="199">
        <f t="shared" ca="1" si="38"/>
        <v>3</v>
      </c>
      <c r="N43" s="276"/>
      <c r="O43" s="199">
        <v>4</v>
      </c>
      <c r="P43" s="199">
        <f t="shared" ca="1" si="33"/>
        <v>3</v>
      </c>
      <c r="Q43" s="199">
        <f t="shared" ca="1" si="34"/>
        <v>2</v>
      </c>
      <c r="S43" s="276"/>
      <c r="T43" s="199">
        <v>4</v>
      </c>
      <c r="U43" s="199">
        <f t="shared" ca="1" si="35"/>
        <v>3</v>
      </c>
      <c r="V43" s="199">
        <f t="shared" ca="1" si="36"/>
        <v>10</v>
      </c>
    </row>
    <row r="44" spans="3:22" ht="21.75" thickTop="1" thickBot="1" x14ac:dyDescent="0.35">
      <c r="I44" s="277"/>
      <c r="J44" s="199">
        <v>5</v>
      </c>
      <c r="K44" s="199">
        <f t="shared" ca="1" si="37"/>
        <v>8</v>
      </c>
      <c r="L44" s="199">
        <f t="shared" ca="1" si="38"/>
        <v>3</v>
      </c>
      <c r="N44" s="277"/>
      <c r="O44" s="199">
        <v>5</v>
      </c>
      <c r="P44" s="199">
        <f t="shared" ca="1" si="33"/>
        <v>6</v>
      </c>
      <c r="Q44" s="199">
        <f t="shared" ca="1" si="34"/>
        <v>3</v>
      </c>
      <c r="S44" s="277"/>
      <c r="T44" s="199">
        <v>5</v>
      </c>
      <c r="U44" s="199">
        <f t="shared" ca="1" si="35"/>
        <v>4</v>
      </c>
      <c r="V44" s="199">
        <f t="shared" ca="1" si="36"/>
        <v>5</v>
      </c>
    </row>
    <row r="45" spans="3:22" ht="21.75" thickTop="1" thickBot="1" x14ac:dyDescent="0.35">
      <c r="I45" s="275">
        <v>4</v>
      </c>
      <c r="J45" s="199">
        <v>2</v>
      </c>
      <c r="K45" s="199">
        <f t="shared" ca="1" si="37"/>
        <v>9</v>
      </c>
      <c r="L45" s="199">
        <f t="shared" ca="1" si="38"/>
        <v>10</v>
      </c>
      <c r="N45" s="275">
        <v>14</v>
      </c>
      <c r="O45" s="199">
        <v>2</v>
      </c>
      <c r="P45" s="199">
        <f t="shared" ca="1" si="33"/>
        <v>8</v>
      </c>
      <c r="Q45" s="199">
        <f t="shared" ca="1" si="34"/>
        <v>3</v>
      </c>
      <c r="S45" s="275">
        <v>24</v>
      </c>
      <c r="T45" s="199">
        <v>2</v>
      </c>
      <c r="U45" s="199">
        <f t="shared" ca="1" si="35"/>
        <v>2</v>
      </c>
      <c r="V45" s="199">
        <f t="shared" ca="1" si="36"/>
        <v>7</v>
      </c>
    </row>
    <row r="46" spans="3:22" ht="21.75" thickTop="1" thickBot="1" x14ac:dyDescent="0.35">
      <c r="I46" s="276"/>
      <c r="J46" s="199">
        <v>3</v>
      </c>
      <c r="K46" s="199">
        <f t="shared" ca="1" si="37"/>
        <v>5</v>
      </c>
      <c r="L46" s="199">
        <f t="shared" ca="1" si="38"/>
        <v>2</v>
      </c>
      <c r="N46" s="276"/>
      <c r="O46" s="199">
        <v>3</v>
      </c>
      <c r="P46" s="199">
        <f t="shared" ca="1" si="33"/>
        <v>4</v>
      </c>
      <c r="Q46" s="199">
        <f t="shared" ca="1" si="34"/>
        <v>4</v>
      </c>
      <c r="S46" s="276"/>
      <c r="T46" s="199">
        <v>3</v>
      </c>
      <c r="U46" s="199">
        <f t="shared" ca="1" si="35"/>
        <v>9</v>
      </c>
      <c r="V46" s="199">
        <f t="shared" ca="1" si="36"/>
        <v>2</v>
      </c>
    </row>
    <row r="47" spans="3:22" ht="21.75" thickTop="1" thickBot="1" x14ac:dyDescent="0.35">
      <c r="I47" s="276"/>
      <c r="J47" s="199">
        <v>4</v>
      </c>
      <c r="K47" s="199">
        <f t="shared" ca="1" si="37"/>
        <v>6</v>
      </c>
      <c r="L47" s="199">
        <f t="shared" ca="1" si="38"/>
        <v>9</v>
      </c>
      <c r="N47" s="276"/>
      <c r="O47" s="199">
        <v>4</v>
      </c>
      <c r="P47" s="199">
        <f t="shared" ca="1" si="33"/>
        <v>4</v>
      </c>
      <c r="Q47" s="199">
        <f t="shared" ca="1" si="34"/>
        <v>4</v>
      </c>
      <c r="S47" s="276"/>
      <c r="T47" s="199">
        <v>4</v>
      </c>
      <c r="U47" s="199">
        <f t="shared" ca="1" si="35"/>
        <v>4</v>
      </c>
      <c r="V47" s="199">
        <f t="shared" ca="1" si="36"/>
        <v>4</v>
      </c>
    </row>
    <row r="48" spans="3:22" ht="21.75" thickTop="1" thickBot="1" x14ac:dyDescent="0.35">
      <c r="I48" s="277"/>
      <c r="J48" s="199">
        <v>5</v>
      </c>
      <c r="K48" s="199">
        <f t="shared" ca="1" si="37"/>
        <v>3</v>
      </c>
      <c r="L48" s="199">
        <f t="shared" ca="1" si="38"/>
        <v>6</v>
      </c>
      <c r="N48" s="277"/>
      <c r="O48" s="199">
        <v>5</v>
      </c>
      <c r="P48" s="199">
        <f t="shared" ca="1" si="33"/>
        <v>3</v>
      </c>
      <c r="Q48" s="199">
        <f t="shared" ca="1" si="34"/>
        <v>5</v>
      </c>
      <c r="S48" s="277"/>
      <c r="T48" s="199">
        <v>5</v>
      </c>
      <c r="U48" s="199">
        <f t="shared" ca="1" si="35"/>
        <v>8</v>
      </c>
      <c r="V48" s="199">
        <f t="shared" ca="1" si="36"/>
        <v>1</v>
      </c>
    </row>
    <row r="49" spans="9:22" ht="21.75" thickTop="1" thickBot="1" x14ac:dyDescent="0.35">
      <c r="I49" s="275">
        <v>5</v>
      </c>
      <c r="J49" s="199">
        <v>2</v>
      </c>
      <c r="K49" s="199">
        <f t="shared" ca="1" si="37"/>
        <v>9</v>
      </c>
      <c r="L49" s="199">
        <f t="shared" ca="1" si="38"/>
        <v>5</v>
      </c>
      <c r="N49" s="275">
        <v>15</v>
      </c>
      <c r="O49" s="199">
        <v>2</v>
      </c>
      <c r="P49" s="199">
        <f t="shared" ca="1" si="33"/>
        <v>5</v>
      </c>
      <c r="Q49" s="199">
        <f t="shared" ca="1" si="34"/>
        <v>7</v>
      </c>
      <c r="S49" s="275">
        <v>25</v>
      </c>
      <c r="T49" s="199">
        <v>2</v>
      </c>
      <c r="U49" s="199">
        <f t="shared" ca="1" si="35"/>
        <v>8</v>
      </c>
      <c r="V49" s="199">
        <f t="shared" ca="1" si="36"/>
        <v>9</v>
      </c>
    </row>
    <row r="50" spans="9:22" ht="21.75" thickTop="1" thickBot="1" x14ac:dyDescent="0.35">
      <c r="I50" s="276"/>
      <c r="J50" s="199">
        <v>3</v>
      </c>
      <c r="K50" s="199">
        <f t="shared" ca="1" si="37"/>
        <v>3</v>
      </c>
      <c r="L50" s="199">
        <f t="shared" ca="1" si="38"/>
        <v>1</v>
      </c>
      <c r="N50" s="276"/>
      <c r="O50" s="199">
        <v>3</v>
      </c>
      <c r="P50" s="199">
        <f t="shared" ca="1" si="33"/>
        <v>9</v>
      </c>
      <c r="Q50" s="199">
        <f t="shared" ca="1" si="34"/>
        <v>7</v>
      </c>
      <c r="S50" s="276"/>
      <c r="T50" s="199">
        <v>3</v>
      </c>
      <c r="U50" s="199">
        <f t="shared" ca="1" si="35"/>
        <v>9</v>
      </c>
      <c r="V50" s="199">
        <f t="shared" ca="1" si="36"/>
        <v>9</v>
      </c>
    </row>
    <row r="51" spans="9:22" ht="21.75" thickTop="1" thickBot="1" x14ac:dyDescent="0.35">
      <c r="I51" s="276"/>
      <c r="J51" s="199">
        <v>4</v>
      </c>
      <c r="K51" s="199">
        <f t="shared" ca="1" si="37"/>
        <v>6</v>
      </c>
      <c r="L51" s="199">
        <f t="shared" ca="1" si="38"/>
        <v>5</v>
      </c>
      <c r="N51" s="276"/>
      <c r="O51" s="199">
        <v>4</v>
      </c>
      <c r="P51" s="199">
        <f t="shared" ca="1" si="33"/>
        <v>9</v>
      </c>
      <c r="Q51" s="199">
        <f t="shared" ca="1" si="34"/>
        <v>1</v>
      </c>
      <c r="S51" s="276"/>
      <c r="T51" s="199">
        <v>4</v>
      </c>
      <c r="U51" s="199">
        <f t="shared" ca="1" si="35"/>
        <v>7</v>
      </c>
      <c r="V51" s="199">
        <f t="shared" ca="1" si="36"/>
        <v>2</v>
      </c>
    </row>
    <row r="52" spans="9:22" ht="21.75" thickTop="1" thickBot="1" x14ac:dyDescent="0.35">
      <c r="I52" s="277"/>
      <c r="J52" s="199">
        <v>5</v>
      </c>
      <c r="K52" s="199">
        <f t="shared" ca="1" si="37"/>
        <v>2</v>
      </c>
      <c r="L52" s="199">
        <f t="shared" ca="1" si="38"/>
        <v>4</v>
      </c>
      <c r="N52" s="277"/>
      <c r="O52" s="199">
        <v>5</v>
      </c>
      <c r="P52" s="199">
        <f t="shared" ca="1" si="33"/>
        <v>6</v>
      </c>
      <c r="Q52" s="199">
        <f t="shared" ca="1" si="34"/>
        <v>1</v>
      </c>
      <c r="S52" s="277"/>
      <c r="T52" s="199">
        <v>5</v>
      </c>
      <c r="U52" s="199">
        <f t="shared" ca="1" si="35"/>
        <v>5</v>
      </c>
      <c r="V52" s="199">
        <f t="shared" ca="1" si="36"/>
        <v>2</v>
      </c>
    </row>
    <row r="53" spans="9:22" ht="21.75" thickTop="1" thickBot="1" x14ac:dyDescent="0.35">
      <c r="I53" s="275">
        <v>6</v>
      </c>
      <c r="J53" s="199">
        <v>2</v>
      </c>
      <c r="K53" s="199">
        <f t="shared" ca="1" si="37"/>
        <v>3</v>
      </c>
      <c r="L53" s="199">
        <f t="shared" ca="1" si="38"/>
        <v>9</v>
      </c>
      <c r="N53" s="275">
        <v>16</v>
      </c>
      <c r="O53" s="199">
        <v>2</v>
      </c>
      <c r="P53" s="199">
        <f t="shared" ca="1" si="33"/>
        <v>3</v>
      </c>
      <c r="Q53" s="199">
        <f t="shared" ca="1" si="34"/>
        <v>4</v>
      </c>
      <c r="S53" s="275">
        <v>26</v>
      </c>
      <c r="T53" s="199">
        <v>2</v>
      </c>
      <c r="U53" s="199">
        <f t="shared" ca="1" si="35"/>
        <v>7</v>
      </c>
      <c r="V53" s="199">
        <f t="shared" ca="1" si="36"/>
        <v>3</v>
      </c>
    </row>
    <row r="54" spans="9:22" ht="21.75" thickTop="1" thickBot="1" x14ac:dyDescent="0.35">
      <c r="I54" s="276"/>
      <c r="J54" s="199">
        <v>3</v>
      </c>
      <c r="K54" s="199">
        <f t="shared" ca="1" si="37"/>
        <v>8</v>
      </c>
      <c r="L54" s="199">
        <f t="shared" ca="1" si="38"/>
        <v>7</v>
      </c>
      <c r="N54" s="276"/>
      <c r="O54" s="199">
        <v>3</v>
      </c>
      <c r="P54" s="199">
        <f t="shared" ca="1" si="33"/>
        <v>7</v>
      </c>
      <c r="Q54" s="199">
        <f t="shared" ca="1" si="34"/>
        <v>5</v>
      </c>
      <c r="S54" s="276"/>
      <c r="T54" s="199">
        <v>3</v>
      </c>
      <c r="U54" s="199">
        <f t="shared" ca="1" si="35"/>
        <v>9</v>
      </c>
      <c r="V54" s="199">
        <f t="shared" ca="1" si="36"/>
        <v>10</v>
      </c>
    </row>
    <row r="55" spans="9:22" ht="21.75" thickTop="1" thickBot="1" x14ac:dyDescent="0.35">
      <c r="I55" s="276"/>
      <c r="J55" s="199">
        <v>4</v>
      </c>
      <c r="K55" s="199">
        <f t="shared" ca="1" si="37"/>
        <v>4</v>
      </c>
      <c r="L55" s="199">
        <f t="shared" ca="1" si="38"/>
        <v>7</v>
      </c>
      <c r="N55" s="276"/>
      <c r="O55" s="199">
        <v>4</v>
      </c>
      <c r="P55" s="199">
        <f t="shared" ca="1" si="33"/>
        <v>5</v>
      </c>
      <c r="Q55" s="199">
        <f t="shared" ca="1" si="34"/>
        <v>4</v>
      </c>
      <c r="S55" s="276"/>
      <c r="T55" s="199">
        <v>4</v>
      </c>
      <c r="U55" s="199">
        <f t="shared" ca="1" si="35"/>
        <v>2</v>
      </c>
      <c r="V55" s="199">
        <f t="shared" ca="1" si="36"/>
        <v>6</v>
      </c>
    </row>
    <row r="56" spans="9:22" ht="21.75" thickTop="1" thickBot="1" x14ac:dyDescent="0.35">
      <c r="I56" s="277"/>
      <c r="J56" s="199">
        <v>5</v>
      </c>
      <c r="K56" s="199">
        <f t="shared" ca="1" si="37"/>
        <v>7</v>
      </c>
      <c r="L56" s="199">
        <f t="shared" ca="1" si="38"/>
        <v>9</v>
      </c>
      <c r="N56" s="277"/>
      <c r="O56" s="199">
        <v>5</v>
      </c>
      <c r="P56" s="199">
        <f t="shared" ca="1" si="33"/>
        <v>8</v>
      </c>
      <c r="Q56" s="199">
        <f t="shared" ca="1" si="34"/>
        <v>4</v>
      </c>
      <c r="S56" s="277"/>
      <c r="T56" s="199">
        <v>5</v>
      </c>
      <c r="U56" s="199">
        <f t="shared" ca="1" si="35"/>
        <v>6</v>
      </c>
      <c r="V56" s="199">
        <f t="shared" ca="1" si="36"/>
        <v>5</v>
      </c>
    </row>
    <row r="57" spans="9:22" ht="21.75" thickTop="1" thickBot="1" x14ac:dyDescent="0.35">
      <c r="I57" s="275">
        <v>7</v>
      </c>
      <c r="J57" s="199">
        <v>2</v>
      </c>
      <c r="K57" s="199">
        <f t="shared" ca="1" si="37"/>
        <v>6</v>
      </c>
      <c r="L57" s="199">
        <f t="shared" ca="1" si="38"/>
        <v>6</v>
      </c>
      <c r="N57" s="275">
        <v>17</v>
      </c>
      <c r="O57" s="199">
        <v>2</v>
      </c>
      <c r="P57" s="199">
        <f t="shared" ca="1" si="33"/>
        <v>7</v>
      </c>
      <c r="Q57" s="199">
        <f t="shared" ca="1" si="34"/>
        <v>3</v>
      </c>
    </row>
    <row r="58" spans="9:22" ht="21.75" thickTop="1" thickBot="1" x14ac:dyDescent="0.35">
      <c r="I58" s="276"/>
      <c r="J58" s="199">
        <v>3</v>
      </c>
      <c r="K58" s="199">
        <f t="shared" ca="1" si="37"/>
        <v>8</v>
      </c>
      <c r="L58" s="199">
        <f t="shared" ca="1" si="38"/>
        <v>4</v>
      </c>
      <c r="N58" s="276"/>
      <c r="O58" s="199">
        <v>3</v>
      </c>
      <c r="P58" s="199">
        <f t="shared" ca="1" si="33"/>
        <v>9</v>
      </c>
      <c r="Q58" s="199">
        <f t="shared" ca="1" si="34"/>
        <v>6</v>
      </c>
    </row>
    <row r="59" spans="9:22" ht="21.75" thickTop="1" thickBot="1" x14ac:dyDescent="0.35">
      <c r="I59" s="276"/>
      <c r="J59" s="199">
        <v>4</v>
      </c>
      <c r="K59" s="199">
        <f t="shared" ca="1" si="37"/>
        <v>3</v>
      </c>
      <c r="L59" s="199">
        <f t="shared" ca="1" si="38"/>
        <v>4</v>
      </c>
      <c r="N59" s="276"/>
      <c r="O59" s="199">
        <v>4</v>
      </c>
      <c r="P59" s="199">
        <f t="shared" ca="1" si="33"/>
        <v>6</v>
      </c>
      <c r="Q59" s="199">
        <f t="shared" ca="1" si="34"/>
        <v>5</v>
      </c>
    </row>
    <row r="60" spans="9:22" ht="21.75" thickTop="1" thickBot="1" x14ac:dyDescent="0.35">
      <c r="I60" s="277"/>
      <c r="J60" s="199">
        <v>5</v>
      </c>
      <c r="K60" s="199">
        <f t="shared" ca="1" si="37"/>
        <v>8</v>
      </c>
      <c r="L60" s="199">
        <f t="shared" ca="1" si="38"/>
        <v>7</v>
      </c>
      <c r="N60" s="277"/>
      <c r="O60" s="199">
        <v>5</v>
      </c>
      <c r="P60" s="199">
        <f t="shared" ca="1" si="33"/>
        <v>5</v>
      </c>
      <c r="Q60" s="199">
        <f t="shared" ca="1" si="34"/>
        <v>3</v>
      </c>
    </row>
    <row r="61" spans="9:22" ht="21.75" thickTop="1" thickBot="1" x14ac:dyDescent="0.35">
      <c r="I61" s="275">
        <v>8</v>
      </c>
      <c r="J61" s="199">
        <v>2</v>
      </c>
      <c r="K61" s="199">
        <f t="shared" ca="1" si="37"/>
        <v>6</v>
      </c>
      <c r="L61" s="199">
        <f t="shared" ca="1" si="38"/>
        <v>6</v>
      </c>
      <c r="N61" s="275">
        <v>18</v>
      </c>
      <c r="O61" s="199">
        <v>2</v>
      </c>
      <c r="P61" s="199">
        <f t="shared" ca="1" si="33"/>
        <v>8</v>
      </c>
      <c r="Q61" s="199">
        <f t="shared" ca="1" si="34"/>
        <v>1</v>
      </c>
    </row>
    <row r="62" spans="9:22" ht="21.75" thickTop="1" thickBot="1" x14ac:dyDescent="0.35">
      <c r="I62" s="276"/>
      <c r="J62" s="199">
        <v>3</v>
      </c>
      <c r="K62" s="199">
        <f t="shared" ca="1" si="37"/>
        <v>4</v>
      </c>
      <c r="L62" s="199">
        <f t="shared" ca="1" si="38"/>
        <v>4</v>
      </c>
      <c r="N62" s="276"/>
      <c r="O62" s="199">
        <v>3</v>
      </c>
      <c r="P62" s="199">
        <f t="shared" ca="1" si="33"/>
        <v>5</v>
      </c>
      <c r="Q62" s="199">
        <f t="shared" ca="1" si="34"/>
        <v>2</v>
      </c>
    </row>
    <row r="63" spans="9:22" ht="21.75" thickTop="1" thickBot="1" x14ac:dyDescent="0.35">
      <c r="I63" s="276"/>
      <c r="J63" s="199">
        <v>4</v>
      </c>
      <c r="K63" s="199">
        <f t="shared" ca="1" si="37"/>
        <v>6</v>
      </c>
      <c r="L63" s="199">
        <f t="shared" ca="1" si="38"/>
        <v>7</v>
      </c>
      <c r="N63" s="276"/>
      <c r="O63" s="199">
        <v>4</v>
      </c>
      <c r="P63" s="199">
        <f t="shared" ca="1" si="33"/>
        <v>8</v>
      </c>
      <c r="Q63" s="199">
        <f t="shared" ca="1" si="34"/>
        <v>7</v>
      </c>
    </row>
    <row r="64" spans="9:22" ht="21.75" thickTop="1" thickBot="1" x14ac:dyDescent="0.35">
      <c r="I64" s="277"/>
      <c r="J64" s="199">
        <v>5</v>
      </c>
      <c r="K64" s="199">
        <f t="shared" ca="1" si="37"/>
        <v>9</v>
      </c>
      <c r="L64" s="199">
        <f t="shared" ca="1" si="38"/>
        <v>5</v>
      </c>
      <c r="N64" s="277"/>
      <c r="O64" s="199">
        <v>5</v>
      </c>
      <c r="P64" s="199">
        <f t="shared" ca="1" si="33"/>
        <v>8</v>
      </c>
      <c r="Q64" s="199">
        <f t="shared" ca="1" si="34"/>
        <v>6</v>
      </c>
    </row>
    <row r="65" spans="9:17" ht="21.75" thickTop="1" thickBot="1" x14ac:dyDescent="0.35">
      <c r="I65" s="275">
        <v>9</v>
      </c>
      <c r="J65" s="199">
        <v>2</v>
      </c>
      <c r="K65" s="199">
        <f t="shared" ca="1" si="37"/>
        <v>8</v>
      </c>
      <c r="L65" s="199">
        <f t="shared" ca="1" si="38"/>
        <v>10</v>
      </c>
      <c r="N65" s="275">
        <v>19</v>
      </c>
      <c r="O65" s="199">
        <v>2</v>
      </c>
      <c r="P65" s="199">
        <f t="shared" ca="1" si="33"/>
        <v>3</v>
      </c>
      <c r="Q65" s="199">
        <f t="shared" ca="1" si="34"/>
        <v>8</v>
      </c>
    </row>
    <row r="66" spans="9:17" ht="21.75" thickTop="1" thickBot="1" x14ac:dyDescent="0.35">
      <c r="I66" s="276"/>
      <c r="J66" s="199">
        <v>3</v>
      </c>
      <c r="K66" s="199">
        <f t="shared" ca="1" si="37"/>
        <v>3</v>
      </c>
      <c r="L66" s="199">
        <f t="shared" ca="1" si="38"/>
        <v>5</v>
      </c>
      <c r="N66" s="276"/>
      <c r="O66" s="199">
        <v>3</v>
      </c>
      <c r="P66" s="199">
        <f t="shared" ca="1" si="33"/>
        <v>4</v>
      </c>
      <c r="Q66" s="199">
        <f t="shared" ca="1" si="34"/>
        <v>4</v>
      </c>
    </row>
    <row r="67" spans="9:17" ht="21.75" thickTop="1" thickBot="1" x14ac:dyDescent="0.35">
      <c r="I67" s="276"/>
      <c r="J67" s="199">
        <v>4</v>
      </c>
      <c r="K67" s="199">
        <f t="shared" ca="1" si="37"/>
        <v>6</v>
      </c>
      <c r="L67" s="199">
        <f t="shared" ca="1" si="38"/>
        <v>9</v>
      </c>
      <c r="N67" s="276"/>
      <c r="O67" s="199">
        <v>4</v>
      </c>
      <c r="P67" s="199">
        <f t="shared" ca="1" si="33"/>
        <v>4</v>
      </c>
      <c r="Q67" s="199">
        <f t="shared" ca="1" si="34"/>
        <v>10</v>
      </c>
    </row>
    <row r="68" spans="9:17" ht="21.75" thickTop="1" thickBot="1" x14ac:dyDescent="0.35">
      <c r="I68" s="277"/>
      <c r="J68" s="199">
        <v>5</v>
      </c>
      <c r="K68" s="199">
        <f t="shared" ca="1" si="37"/>
        <v>4</v>
      </c>
      <c r="L68" s="199">
        <f t="shared" ca="1" si="38"/>
        <v>1</v>
      </c>
      <c r="N68" s="277"/>
      <c r="O68" s="199">
        <v>5</v>
      </c>
      <c r="P68" s="199">
        <f t="shared" ca="1" si="33"/>
        <v>8</v>
      </c>
      <c r="Q68" s="199">
        <f t="shared" ca="1" si="34"/>
        <v>2</v>
      </c>
    </row>
    <row r="69" spans="9:17" ht="21.75" thickTop="1" thickBot="1" x14ac:dyDescent="0.35">
      <c r="I69" s="275">
        <v>10</v>
      </c>
      <c r="J69" s="199">
        <v>2</v>
      </c>
      <c r="K69" s="199">
        <f t="shared" ca="1" si="37"/>
        <v>5</v>
      </c>
      <c r="L69" s="199">
        <f t="shared" ca="1" si="38"/>
        <v>2</v>
      </c>
      <c r="N69" s="275">
        <v>20</v>
      </c>
      <c r="O69" s="199">
        <v>2</v>
      </c>
      <c r="P69" s="199">
        <f t="shared" ca="1" si="33"/>
        <v>3</v>
      </c>
      <c r="Q69" s="199">
        <f t="shared" ca="1" si="34"/>
        <v>8</v>
      </c>
    </row>
    <row r="70" spans="9:17" ht="21.75" thickTop="1" thickBot="1" x14ac:dyDescent="0.35">
      <c r="I70" s="276"/>
      <c r="J70" s="199">
        <v>3</v>
      </c>
      <c r="K70" s="199">
        <f t="shared" ca="1" si="37"/>
        <v>9</v>
      </c>
      <c r="L70" s="199">
        <f t="shared" ca="1" si="38"/>
        <v>10</v>
      </c>
      <c r="N70" s="276"/>
      <c r="O70" s="199">
        <v>3</v>
      </c>
      <c r="P70" s="199">
        <f t="shared" ca="1" si="33"/>
        <v>9</v>
      </c>
      <c r="Q70" s="199">
        <f t="shared" ca="1" si="34"/>
        <v>2</v>
      </c>
    </row>
    <row r="71" spans="9:17" ht="21.75" thickTop="1" thickBot="1" x14ac:dyDescent="0.35">
      <c r="I71" s="276"/>
      <c r="J71" s="199">
        <v>4</v>
      </c>
      <c r="K71" s="199">
        <f t="shared" ca="1" si="37"/>
        <v>3</v>
      </c>
      <c r="L71" s="199">
        <f t="shared" ca="1" si="38"/>
        <v>4</v>
      </c>
      <c r="N71" s="276"/>
      <c r="O71" s="199">
        <v>4</v>
      </c>
      <c r="P71" s="199">
        <f t="shared" ca="1" si="33"/>
        <v>2</v>
      </c>
      <c r="Q71" s="199">
        <f t="shared" ca="1" si="34"/>
        <v>3</v>
      </c>
    </row>
    <row r="72" spans="9:17" ht="21.75" thickTop="1" thickBot="1" x14ac:dyDescent="0.35">
      <c r="I72" s="277"/>
      <c r="J72" s="199">
        <v>5</v>
      </c>
      <c r="K72" s="199">
        <f t="shared" ca="1" si="37"/>
        <v>8</v>
      </c>
      <c r="L72" s="199">
        <f t="shared" ca="1" si="38"/>
        <v>2</v>
      </c>
      <c r="N72" s="277"/>
      <c r="O72" s="199">
        <v>5</v>
      </c>
      <c r="P72" s="199">
        <f t="shared" ca="1" si="33"/>
        <v>4</v>
      </c>
      <c r="Q72" s="199">
        <f t="shared" ca="1" si="34"/>
        <v>2</v>
      </c>
    </row>
    <row r="73" spans="9:17" ht="21.75" thickTop="1" thickBot="1" x14ac:dyDescent="0.35">
      <c r="I73" s="275">
        <v>11</v>
      </c>
      <c r="J73" s="199">
        <v>2</v>
      </c>
      <c r="K73" s="199">
        <f t="shared" ca="1" si="37"/>
        <v>2</v>
      </c>
      <c r="L73" s="199">
        <f t="shared" ca="1" si="38"/>
        <v>9</v>
      </c>
    </row>
    <row r="74" spans="9:17" ht="21.75" thickTop="1" thickBot="1" x14ac:dyDescent="0.35">
      <c r="I74" s="276"/>
      <c r="J74" s="199">
        <v>3</v>
      </c>
      <c r="K74" s="199">
        <f t="shared" ca="1" si="37"/>
        <v>3</v>
      </c>
      <c r="L74" s="199">
        <f t="shared" ca="1" si="38"/>
        <v>4</v>
      </c>
    </row>
    <row r="75" spans="9:17" ht="21.75" thickTop="1" thickBot="1" x14ac:dyDescent="0.35">
      <c r="I75" s="276"/>
      <c r="J75" s="199">
        <v>4</v>
      </c>
      <c r="K75" s="199">
        <f t="shared" ca="1" si="37"/>
        <v>4</v>
      </c>
      <c r="L75" s="199">
        <f t="shared" ca="1" si="38"/>
        <v>10</v>
      </c>
    </row>
    <row r="76" spans="9:17" ht="21.75" thickTop="1" thickBot="1" x14ac:dyDescent="0.35">
      <c r="I76" s="277"/>
      <c r="J76" s="199">
        <v>5</v>
      </c>
      <c r="K76" s="199">
        <f t="shared" ca="1" si="37"/>
        <v>9</v>
      </c>
      <c r="L76" s="199">
        <f t="shared" ca="1" si="38"/>
        <v>7</v>
      </c>
    </row>
    <row r="77" spans="9:17" ht="21.75" thickTop="1" thickBot="1" x14ac:dyDescent="0.35">
      <c r="I77" s="275">
        <v>12</v>
      </c>
      <c r="J77" s="199">
        <v>2</v>
      </c>
      <c r="K77" s="199">
        <f t="shared" ca="1" si="37"/>
        <v>3</v>
      </c>
      <c r="L77" s="199">
        <f t="shared" ca="1" si="38"/>
        <v>1</v>
      </c>
    </row>
    <row r="78" spans="9:17" ht="21.75" thickTop="1" thickBot="1" x14ac:dyDescent="0.35">
      <c r="I78" s="276"/>
      <c r="J78" s="199">
        <v>3</v>
      </c>
      <c r="K78" s="199">
        <f t="shared" ca="1" si="37"/>
        <v>9</v>
      </c>
      <c r="L78" s="199">
        <f t="shared" ca="1" si="38"/>
        <v>9</v>
      </c>
    </row>
    <row r="79" spans="9:17" ht="21.75" thickTop="1" thickBot="1" x14ac:dyDescent="0.35">
      <c r="I79" s="276"/>
      <c r="J79" s="199">
        <v>4</v>
      </c>
      <c r="K79" s="199">
        <f t="shared" ca="1" si="37"/>
        <v>6</v>
      </c>
      <c r="L79" s="199">
        <f t="shared" ca="1" si="38"/>
        <v>1</v>
      </c>
    </row>
    <row r="80" spans="9:17" ht="21.75" thickTop="1" thickBot="1" x14ac:dyDescent="0.35">
      <c r="I80" s="277"/>
      <c r="J80" s="199">
        <v>5</v>
      </c>
      <c r="K80" s="199">
        <f t="shared" ca="1" si="37"/>
        <v>5</v>
      </c>
      <c r="L80" s="199">
        <f t="shared" ca="1" si="38"/>
        <v>6</v>
      </c>
    </row>
    <row r="81" spans="9:12" ht="21.75" thickTop="1" thickBot="1" x14ac:dyDescent="0.35">
      <c r="I81" s="275">
        <v>13</v>
      </c>
      <c r="J81" s="199">
        <v>2</v>
      </c>
      <c r="K81" s="199">
        <f t="shared" ca="1" si="37"/>
        <v>9</v>
      </c>
      <c r="L81" s="199">
        <f t="shared" ca="1" si="38"/>
        <v>2</v>
      </c>
    </row>
    <row r="82" spans="9:12" ht="21.75" thickTop="1" thickBot="1" x14ac:dyDescent="0.35">
      <c r="I82" s="276"/>
      <c r="J82" s="199">
        <v>3</v>
      </c>
      <c r="K82" s="199">
        <f t="shared" ca="1" si="37"/>
        <v>8</v>
      </c>
      <c r="L82" s="199">
        <f t="shared" ca="1" si="38"/>
        <v>1</v>
      </c>
    </row>
    <row r="83" spans="9:12" ht="21.75" thickTop="1" thickBot="1" x14ac:dyDescent="0.35">
      <c r="I83" s="276"/>
      <c r="J83" s="199">
        <v>4</v>
      </c>
      <c r="K83" s="199">
        <f t="shared" ca="1" si="37"/>
        <v>9</v>
      </c>
      <c r="L83" s="199">
        <f t="shared" ca="1" si="38"/>
        <v>5</v>
      </c>
    </row>
    <row r="84" spans="9:12" ht="21.75" thickTop="1" thickBot="1" x14ac:dyDescent="0.35">
      <c r="I84" s="277"/>
      <c r="J84" s="199">
        <v>5</v>
      </c>
      <c r="K84" s="199">
        <f t="shared" ca="1" si="37"/>
        <v>7</v>
      </c>
      <c r="L84" s="199">
        <f t="shared" ca="1" si="38"/>
        <v>10</v>
      </c>
    </row>
    <row r="85" spans="9:12" ht="21.75" thickTop="1" thickBot="1" x14ac:dyDescent="0.35">
      <c r="I85" s="275">
        <v>14</v>
      </c>
      <c r="J85" s="199">
        <v>2</v>
      </c>
      <c r="K85" s="199">
        <f t="shared" ca="1" si="37"/>
        <v>8</v>
      </c>
      <c r="L85" s="199">
        <f t="shared" ca="1" si="38"/>
        <v>5</v>
      </c>
    </row>
    <row r="86" spans="9:12" ht="21.75" thickTop="1" thickBot="1" x14ac:dyDescent="0.35">
      <c r="I86" s="276"/>
      <c r="J86" s="199">
        <v>3</v>
      </c>
      <c r="K86" s="199">
        <f t="shared" ca="1" si="37"/>
        <v>6</v>
      </c>
      <c r="L86" s="199">
        <f t="shared" ca="1" si="38"/>
        <v>5</v>
      </c>
    </row>
    <row r="87" spans="9:12" ht="21.75" thickTop="1" thickBot="1" x14ac:dyDescent="0.35">
      <c r="I87" s="276"/>
      <c r="J87" s="199">
        <v>4</v>
      </c>
      <c r="K87" s="199">
        <f t="shared" ca="1" si="37"/>
        <v>6</v>
      </c>
      <c r="L87" s="199">
        <f t="shared" ca="1" si="38"/>
        <v>3</v>
      </c>
    </row>
    <row r="88" spans="9:12" ht="21.75" thickTop="1" thickBot="1" x14ac:dyDescent="0.35">
      <c r="I88" s="277"/>
      <c r="J88" s="199">
        <v>5</v>
      </c>
      <c r="K88" s="199">
        <f t="shared" ca="1" si="37"/>
        <v>8</v>
      </c>
      <c r="L88" s="199">
        <f t="shared" ca="1" si="38"/>
        <v>6</v>
      </c>
    </row>
    <row r="89" spans="9:12" ht="15.75" customHeight="1" thickTop="1" thickBot="1" x14ac:dyDescent="0.35">
      <c r="I89" s="275">
        <v>15</v>
      </c>
      <c r="J89" s="199">
        <v>2</v>
      </c>
      <c r="K89" s="199">
        <f t="shared" ca="1" si="37"/>
        <v>6</v>
      </c>
      <c r="L89" s="199">
        <f t="shared" ca="1" si="38"/>
        <v>4</v>
      </c>
    </row>
    <row r="90" spans="9:12" ht="21.75" thickTop="1" thickBot="1" x14ac:dyDescent="0.35">
      <c r="I90" s="276"/>
      <c r="J90" s="199">
        <v>3</v>
      </c>
      <c r="K90" s="199">
        <f t="shared" ca="1" si="37"/>
        <v>9</v>
      </c>
      <c r="L90" s="199">
        <f t="shared" ca="1" si="38"/>
        <v>1</v>
      </c>
    </row>
    <row r="91" spans="9:12" ht="21.75" thickTop="1" thickBot="1" x14ac:dyDescent="0.35">
      <c r="I91" s="276"/>
      <c r="J91" s="199">
        <v>4</v>
      </c>
      <c r="K91" s="199">
        <f t="shared" ca="1" si="37"/>
        <v>9</v>
      </c>
      <c r="L91" s="199">
        <f t="shared" ca="1" si="38"/>
        <v>5</v>
      </c>
    </row>
    <row r="92" spans="9:12" ht="21.75" thickTop="1" thickBot="1" x14ac:dyDescent="0.35">
      <c r="I92" s="277"/>
      <c r="J92" s="199">
        <v>5</v>
      </c>
      <c r="K92" s="199">
        <f t="shared" ca="1" si="37"/>
        <v>9</v>
      </c>
      <c r="L92" s="199">
        <f t="shared" ca="1" si="38"/>
        <v>10</v>
      </c>
    </row>
    <row r="93" spans="9:12" ht="21.75" thickTop="1" thickBot="1" x14ac:dyDescent="0.35">
      <c r="I93" s="275">
        <v>16</v>
      </c>
      <c r="J93" s="199">
        <v>2</v>
      </c>
      <c r="K93" s="199">
        <f t="shared" ca="1" si="37"/>
        <v>3</v>
      </c>
      <c r="L93" s="199">
        <f t="shared" ca="1" si="38"/>
        <v>5</v>
      </c>
    </row>
    <row r="94" spans="9:12" ht="21.75" thickTop="1" thickBot="1" x14ac:dyDescent="0.35">
      <c r="I94" s="276"/>
      <c r="J94" s="199">
        <v>3</v>
      </c>
      <c r="K94" s="199">
        <f t="shared" ca="1" si="37"/>
        <v>9</v>
      </c>
      <c r="L94" s="199">
        <f t="shared" ca="1" si="38"/>
        <v>6</v>
      </c>
    </row>
    <row r="95" spans="9:12" ht="21.75" thickTop="1" thickBot="1" x14ac:dyDescent="0.35">
      <c r="I95" s="276"/>
      <c r="J95" s="199">
        <v>4</v>
      </c>
      <c r="K95" s="199">
        <f t="shared" ca="1" si="37"/>
        <v>8</v>
      </c>
      <c r="L95" s="199">
        <f t="shared" ca="1" si="38"/>
        <v>4</v>
      </c>
    </row>
    <row r="96" spans="9:12" ht="21.75" thickTop="1" thickBot="1" x14ac:dyDescent="0.35">
      <c r="I96" s="277"/>
      <c r="J96" s="199">
        <v>5</v>
      </c>
      <c r="K96" s="199">
        <f t="shared" ca="1" si="37"/>
        <v>2</v>
      </c>
      <c r="L96" s="199">
        <f t="shared" ca="1" si="38"/>
        <v>4</v>
      </c>
    </row>
    <row r="97" spans="9:12" ht="21.75" thickTop="1" thickBot="1" x14ac:dyDescent="0.35">
      <c r="I97" s="275">
        <v>17</v>
      </c>
      <c r="J97" s="199">
        <v>2</v>
      </c>
      <c r="K97" s="199">
        <f t="shared" ca="1" si="37"/>
        <v>9</v>
      </c>
      <c r="L97" s="199">
        <f t="shared" ca="1" si="38"/>
        <v>9</v>
      </c>
    </row>
    <row r="98" spans="9:12" ht="21.75" thickTop="1" thickBot="1" x14ac:dyDescent="0.35">
      <c r="I98" s="276"/>
      <c r="J98" s="199">
        <v>3</v>
      </c>
      <c r="K98" s="199">
        <f t="shared" ref="K98:K136" ca="1" si="39">RANDBETWEEN(2,9)</f>
        <v>5</v>
      </c>
      <c r="L98" s="199">
        <f t="shared" ref="L98:L136" ca="1" si="40">RANDBETWEEN(1,10)</f>
        <v>8</v>
      </c>
    </row>
    <row r="99" spans="9:12" ht="21.75" thickTop="1" thickBot="1" x14ac:dyDescent="0.35">
      <c r="I99" s="276"/>
      <c r="J99" s="199">
        <v>4</v>
      </c>
      <c r="K99" s="199">
        <f t="shared" ca="1" si="39"/>
        <v>4</v>
      </c>
      <c r="L99" s="199">
        <f t="shared" ca="1" si="40"/>
        <v>1</v>
      </c>
    </row>
    <row r="100" spans="9:12" ht="21.75" thickTop="1" thickBot="1" x14ac:dyDescent="0.35">
      <c r="I100" s="277"/>
      <c r="J100" s="199">
        <v>5</v>
      </c>
      <c r="K100" s="199">
        <f t="shared" ca="1" si="39"/>
        <v>8</v>
      </c>
      <c r="L100" s="199">
        <f t="shared" ca="1" si="40"/>
        <v>10</v>
      </c>
    </row>
    <row r="101" spans="9:12" ht="21.75" thickTop="1" thickBot="1" x14ac:dyDescent="0.35">
      <c r="I101" s="275">
        <v>18</v>
      </c>
      <c r="J101" s="199">
        <v>2</v>
      </c>
      <c r="K101" s="199">
        <f t="shared" ca="1" si="39"/>
        <v>8</v>
      </c>
      <c r="L101" s="199">
        <f t="shared" ca="1" si="40"/>
        <v>5</v>
      </c>
    </row>
    <row r="102" spans="9:12" ht="21.75" thickTop="1" thickBot="1" x14ac:dyDescent="0.35">
      <c r="I102" s="276"/>
      <c r="J102" s="199">
        <v>3</v>
      </c>
      <c r="K102" s="199">
        <f t="shared" ca="1" si="39"/>
        <v>7</v>
      </c>
      <c r="L102" s="199">
        <f t="shared" ca="1" si="40"/>
        <v>9</v>
      </c>
    </row>
    <row r="103" spans="9:12" ht="21.75" thickTop="1" thickBot="1" x14ac:dyDescent="0.35">
      <c r="I103" s="276"/>
      <c r="J103" s="199">
        <v>4</v>
      </c>
      <c r="K103" s="199">
        <f t="shared" ca="1" si="39"/>
        <v>8</v>
      </c>
      <c r="L103" s="199">
        <f t="shared" ca="1" si="40"/>
        <v>6</v>
      </c>
    </row>
    <row r="104" spans="9:12" ht="21.75" thickTop="1" thickBot="1" x14ac:dyDescent="0.35">
      <c r="I104" s="277"/>
      <c r="J104" s="199">
        <v>5</v>
      </c>
      <c r="K104" s="199">
        <f t="shared" ca="1" si="39"/>
        <v>8</v>
      </c>
      <c r="L104" s="199">
        <f t="shared" ca="1" si="40"/>
        <v>4</v>
      </c>
    </row>
    <row r="105" spans="9:12" ht="21.75" thickTop="1" thickBot="1" x14ac:dyDescent="0.35">
      <c r="I105" s="275">
        <v>19</v>
      </c>
      <c r="J105" s="199">
        <v>2</v>
      </c>
      <c r="K105" s="199">
        <f t="shared" ca="1" si="39"/>
        <v>9</v>
      </c>
      <c r="L105" s="199">
        <f t="shared" ca="1" si="40"/>
        <v>7</v>
      </c>
    </row>
    <row r="106" spans="9:12" ht="21.75" thickTop="1" thickBot="1" x14ac:dyDescent="0.35">
      <c r="I106" s="276"/>
      <c r="J106" s="199">
        <v>3</v>
      </c>
      <c r="K106" s="199">
        <f t="shared" ca="1" si="39"/>
        <v>7</v>
      </c>
      <c r="L106" s="199">
        <f t="shared" ca="1" si="40"/>
        <v>10</v>
      </c>
    </row>
    <row r="107" spans="9:12" ht="21.75" thickTop="1" thickBot="1" x14ac:dyDescent="0.35">
      <c r="I107" s="276"/>
      <c r="J107" s="199">
        <v>4</v>
      </c>
      <c r="K107" s="199">
        <f t="shared" ca="1" si="39"/>
        <v>5</v>
      </c>
      <c r="L107" s="199">
        <f t="shared" ca="1" si="40"/>
        <v>9</v>
      </c>
    </row>
    <row r="108" spans="9:12" ht="21.75" thickTop="1" thickBot="1" x14ac:dyDescent="0.35">
      <c r="I108" s="277"/>
      <c r="J108" s="199">
        <v>5</v>
      </c>
      <c r="K108" s="199">
        <f t="shared" ca="1" si="39"/>
        <v>8</v>
      </c>
      <c r="L108" s="199">
        <f t="shared" ca="1" si="40"/>
        <v>10</v>
      </c>
    </row>
    <row r="109" spans="9:12" ht="21.75" thickTop="1" thickBot="1" x14ac:dyDescent="0.35">
      <c r="I109" s="275">
        <v>20</v>
      </c>
      <c r="J109" s="199">
        <v>2</v>
      </c>
      <c r="K109" s="199">
        <f t="shared" ca="1" si="39"/>
        <v>4</v>
      </c>
      <c r="L109" s="199">
        <f t="shared" ca="1" si="40"/>
        <v>4</v>
      </c>
    </row>
    <row r="110" spans="9:12" ht="21.75" thickTop="1" thickBot="1" x14ac:dyDescent="0.35">
      <c r="I110" s="276"/>
      <c r="J110" s="199">
        <v>3</v>
      </c>
      <c r="K110" s="199">
        <f t="shared" ca="1" si="39"/>
        <v>2</v>
      </c>
      <c r="L110" s="199">
        <f t="shared" ca="1" si="40"/>
        <v>3</v>
      </c>
    </row>
    <row r="111" spans="9:12" ht="21.75" thickTop="1" thickBot="1" x14ac:dyDescent="0.35">
      <c r="I111" s="276"/>
      <c r="J111" s="199">
        <v>4</v>
      </c>
      <c r="K111" s="199">
        <f t="shared" ca="1" si="39"/>
        <v>5</v>
      </c>
      <c r="L111" s="199">
        <f t="shared" ca="1" si="40"/>
        <v>6</v>
      </c>
    </row>
    <row r="112" spans="9:12" ht="21.75" thickTop="1" thickBot="1" x14ac:dyDescent="0.35">
      <c r="I112" s="277"/>
      <c r="J112" s="199">
        <v>5</v>
      </c>
      <c r="K112" s="199">
        <f t="shared" ca="1" si="39"/>
        <v>7</v>
      </c>
      <c r="L112" s="199">
        <f t="shared" ca="1" si="40"/>
        <v>2</v>
      </c>
    </row>
    <row r="113" spans="9:12" ht="21.75" thickTop="1" thickBot="1" x14ac:dyDescent="0.35">
      <c r="I113" s="275">
        <v>21</v>
      </c>
      <c r="J113" s="199">
        <v>2</v>
      </c>
      <c r="K113" s="199">
        <f t="shared" ca="1" si="39"/>
        <v>2</v>
      </c>
      <c r="L113" s="199">
        <f t="shared" ca="1" si="40"/>
        <v>1</v>
      </c>
    </row>
    <row r="114" spans="9:12" ht="21.75" thickTop="1" thickBot="1" x14ac:dyDescent="0.35">
      <c r="I114" s="276"/>
      <c r="J114" s="199">
        <v>3</v>
      </c>
      <c r="K114" s="199">
        <f t="shared" ca="1" si="39"/>
        <v>4</v>
      </c>
      <c r="L114" s="199">
        <f t="shared" ca="1" si="40"/>
        <v>4</v>
      </c>
    </row>
    <row r="115" spans="9:12" ht="21.75" thickTop="1" thickBot="1" x14ac:dyDescent="0.35">
      <c r="I115" s="276"/>
      <c r="J115" s="199">
        <v>4</v>
      </c>
      <c r="K115" s="199">
        <f t="shared" ca="1" si="39"/>
        <v>6</v>
      </c>
      <c r="L115" s="199">
        <f t="shared" ca="1" si="40"/>
        <v>5</v>
      </c>
    </row>
    <row r="116" spans="9:12" ht="21.75" thickTop="1" thickBot="1" x14ac:dyDescent="0.35">
      <c r="I116" s="277"/>
      <c r="J116" s="199">
        <v>5</v>
      </c>
      <c r="K116" s="199">
        <f t="shared" ca="1" si="39"/>
        <v>3</v>
      </c>
      <c r="L116" s="199">
        <f t="shared" ca="1" si="40"/>
        <v>6</v>
      </c>
    </row>
    <row r="117" spans="9:12" ht="21.75" thickTop="1" thickBot="1" x14ac:dyDescent="0.35">
      <c r="I117" s="275">
        <v>22</v>
      </c>
      <c r="J117" s="199">
        <v>2</v>
      </c>
      <c r="K117" s="199">
        <f t="shared" ca="1" si="39"/>
        <v>7</v>
      </c>
      <c r="L117" s="199">
        <f t="shared" ca="1" si="40"/>
        <v>8</v>
      </c>
    </row>
    <row r="118" spans="9:12" ht="21.75" thickTop="1" thickBot="1" x14ac:dyDescent="0.35">
      <c r="I118" s="276"/>
      <c r="J118" s="199">
        <v>3</v>
      </c>
      <c r="K118" s="199">
        <f t="shared" ca="1" si="39"/>
        <v>6</v>
      </c>
      <c r="L118" s="199">
        <f t="shared" ca="1" si="40"/>
        <v>2</v>
      </c>
    </row>
    <row r="119" spans="9:12" ht="21.75" thickTop="1" thickBot="1" x14ac:dyDescent="0.35">
      <c r="I119" s="276"/>
      <c r="J119" s="199">
        <v>4</v>
      </c>
      <c r="K119" s="199">
        <f t="shared" ca="1" si="39"/>
        <v>7</v>
      </c>
      <c r="L119" s="199">
        <f t="shared" ca="1" si="40"/>
        <v>8</v>
      </c>
    </row>
    <row r="120" spans="9:12" ht="21.75" thickTop="1" thickBot="1" x14ac:dyDescent="0.35">
      <c r="I120" s="277"/>
      <c r="J120" s="199">
        <v>5</v>
      </c>
      <c r="K120" s="199">
        <f t="shared" ca="1" si="39"/>
        <v>7</v>
      </c>
      <c r="L120" s="199">
        <f t="shared" ca="1" si="40"/>
        <v>7</v>
      </c>
    </row>
    <row r="121" spans="9:12" ht="21.75" thickTop="1" thickBot="1" x14ac:dyDescent="0.35">
      <c r="I121" s="275">
        <v>23</v>
      </c>
      <c r="J121" s="199">
        <v>2</v>
      </c>
      <c r="K121" s="199">
        <f t="shared" ca="1" si="39"/>
        <v>6</v>
      </c>
      <c r="L121" s="199">
        <f t="shared" ca="1" si="40"/>
        <v>2</v>
      </c>
    </row>
    <row r="122" spans="9:12" ht="21.75" thickTop="1" thickBot="1" x14ac:dyDescent="0.35">
      <c r="I122" s="276"/>
      <c r="J122" s="199">
        <v>3</v>
      </c>
      <c r="K122" s="199">
        <f t="shared" ca="1" si="39"/>
        <v>4</v>
      </c>
      <c r="L122" s="199">
        <f t="shared" ca="1" si="40"/>
        <v>3</v>
      </c>
    </row>
    <row r="123" spans="9:12" ht="21.75" thickTop="1" thickBot="1" x14ac:dyDescent="0.35">
      <c r="I123" s="276"/>
      <c r="J123" s="199">
        <v>4</v>
      </c>
      <c r="K123" s="199">
        <f t="shared" ca="1" si="39"/>
        <v>3</v>
      </c>
      <c r="L123" s="199">
        <f t="shared" ca="1" si="40"/>
        <v>4</v>
      </c>
    </row>
    <row r="124" spans="9:12" ht="21.75" thickTop="1" thickBot="1" x14ac:dyDescent="0.35">
      <c r="I124" s="277"/>
      <c r="J124" s="199">
        <v>5</v>
      </c>
      <c r="K124" s="199">
        <f t="shared" ca="1" si="39"/>
        <v>3</v>
      </c>
      <c r="L124" s="199">
        <f t="shared" ca="1" si="40"/>
        <v>5</v>
      </c>
    </row>
    <row r="125" spans="9:12" ht="21.75" thickTop="1" thickBot="1" x14ac:dyDescent="0.35">
      <c r="I125" s="275">
        <v>24</v>
      </c>
      <c r="J125" s="199">
        <v>2</v>
      </c>
      <c r="K125" s="199">
        <f t="shared" ca="1" si="39"/>
        <v>2</v>
      </c>
      <c r="L125" s="199">
        <f t="shared" ca="1" si="40"/>
        <v>1</v>
      </c>
    </row>
    <row r="126" spans="9:12" ht="21.75" thickTop="1" thickBot="1" x14ac:dyDescent="0.35">
      <c r="I126" s="276"/>
      <c r="J126" s="199">
        <v>3</v>
      </c>
      <c r="K126" s="199">
        <f t="shared" ca="1" si="39"/>
        <v>2</v>
      </c>
      <c r="L126" s="199">
        <f t="shared" ca="1" si="40"/>
        <v>9</v>
      </c>
    </row>
    <row r="127" spans="9:12" ht="21.75" thickTop="1" thickBot="1" x14ac:dyDescent="0.35">
      <c r="I127" s="276"/>
      <c r="J127" s="199">
        <v>4</v>
      </c>
      <c r="K127" s="199">
        <f t="shared" ca="1" si="39"/>
        <v>6</v>
      </c>
      <c r="L127" s="199">
        <f t="shared" ca="1" si="40"/>
        <v>1</v>
      </c>
    </row>
    <row r="128" spans="9:12" ht="21.75" thickTop="1" thickBot="1" x14ac:dyDescent="0.35">
      <c r="I128" s="277"/>
      <c r="J128" s="199">
        <v>5</v>
      </c>
      <c r="K128" s="199">
        <f t="shared" ca="1" si="39"/>
        <v>4</v>
      </c>
      <c r="L128" s="199">
        <f t="shared" ca="1" si="40"/>
        <v>7</v>
      </c>
    </row>
    <row r="129" spans="9:12" ht="21.75" thickTop="1" thickBot="1" x14ac:dyDescent="0.35">
      <c r="I129" s="275">
        <v>25</v>
      </c>
      <c r="J129" s="199">
        <v>2</v>
      </c>
      <c r="K129" s="199">
        <f t="shared" ca="1" si="39"/>
        <v>9</v>
      </c>
      <c r="L129" s="199">
        <f t="shared" ca="1" si="40"/>
        <v>7</v>
      </c>
    </row>
    <row r="130" spans="9:12" ht="21.75" thickTop="1" thickBot="1" x14ac:dyDescent="0.35">
      <c r="I130" s="276"/>
      <c r="J130" s="199">
        <v>3</v>
      </c>
      <c r="K130" s="199">
        <f t="shared" ca="1" si="39"/>
        <v>5</v>
      </c>
      <c r="L130" s="199">
        <f t="shared" ca="1" si="40"/>
        <v>10</v>
      </c>
    </row>
    <row r="131" spans="9:12" ht="21.75" thickTop="1" thickBot="1" x14ac:dyDescent="0.35">
      <c r="I131" s="276"/>
      <c r="J131" s="199">
        <v>4</v>
      </c>
      <c r="K131" s="199">
        <f t="shared" ca="1" si="39"/>
        <v>7</v>
      </c>
      <c r="L131" s="199">
        <f t="shared" ca="1" si="40"/>
        <v>7</v>
      </c>
    </row>
    <row r="132" spans="9:12" ht="21.75" thickTop="1" thickBot="1" x14ac:dyDescent="0.35">
      <c r="I132" s="277"/>
      <c r="J132" s="199">
        <v>5</v>
      </c>
      <c r="K132" s="199">
        <f t="shared" ca="1" si="39"/>
        <v>4</v>
      </c>
      <c r="L132" s="199">
        <f t="shared" ca="1" si="40"/>
        <v>1</v>
      </c>
    </row>
    <row r="133" spans="9:12" ht="21.75" thickTop="1" thickBot="1" x14ac:dyDescent="0.35">
      <c r="I133" s="275">
        <v>26</v>
      </c>
      <c r="J133" s="199">
        <v>2</v>
      </c>
      <c r="K133" s="199">
        <f t="shared" ca="1" si="39"/>
        <v>6</v>
      </c>
      <c r="L133" s="199">
        <f t="shared" ca="1" si="40"/>
        <v>7</v>
      </c>
    </row>
    <row r="134" spans="9:12" ht="21.75" thickTop="1" thickBot="1" x14ac:dyDescent="0.35">
      <c r="I134" s="276"/>
      <c r="J134" s="199">
        <v>3</v>
      </c>
      <c r="K134" s="199">
        <f t="shared" ca="1" si="39"/>
        <v>7</v>
      </c>
      <c r="L134" s="199">
        <f t="shared" ca="1" si="40"/>
        <v>9</v>
      </c>
    </row>
    <row r="135" spans="9:12" ht="21.75" thickTop="1" thickBot="1" x14ac:dyDescent="0.35">
      <c r="I135" s="276"/>
      <c r="J135" s="199">
        <v>4</v>
      </c>
      <c r="K135" s="199">
        <f t="shared" ca="1" si="39"/>
        <v>2</v>
      </c>
      <c r="L135" s="199">
        <f t="shared" ca="1" si="40"/>
        <v>6</v>
      </c>
    </row>
    <row r="136" spans="9:12" ht="21.75" thickTop="1" thickBot="1" x14ac:dyDescent="0.35">
      <c r="I136" s="277"/>
      <c r="J136" s="199">
        <v>5</v>
      </c>
      <c r="K136" s="199">
        <f t="shared" ca="1" si="39"/>
        <v>5</v>
      </c>
      <c r="L136" s="199">
        <f t="shared" ca="1" si="40"/>
        <v>2</v>
      </c>
    </row>
    <row r="137" spans="9:12" ht="15.75" thickTop="1" x14ac:dyDescent="0.25"/>
  </sheetData>
  <mergeCells count="42">
    <mergeCell ref="I53:I56"/>
    <mergeCell ref="I33:I36"/>
    <mergeCell ref="I37:I40"/>
    <mergeCell ref="I41:I44"/>
    <mergeCell ref="I45:I48"/>
    <mergeCell ref="I49:I52"/>
    <mergeCell ref="I101:I104"/>
    <mergeCell ref="I57:I60"/>
    <mergeCell ref="I61:I64"/>
    <mergeCell ref="I65:I68"/>
    <mergeCell ref="I69:I72"/>
    <mergeCell ref="I73:I76"/>
    <mergeCell ref="I77:I80"/>
    <mergeCell ref="I81:I84"/>
    <mergeCell ref="I85:I88"/>
    <mergeCell ref="I89:I92"/>
    <mergeCell ref="I93:I96"/>
    <mergeCell ref="I97:I100"/>
    <mergeCell ref="I129:I132"/>
    <mergeCell ref="I133:I136"/>
    <mergeCell ref="N33:N36"/>
    <mergeCell ref="N37:N40"/>
    <mergeCell ref="N41:N44"/>
    <mergeCell ref="N45:N48"/>
    <mergeCell ref="N49:N52"/>
    <mergeCell ref="N53:N56"/>
    <mergeCell ref="N57:N60"/>
    <mergeCell ref="N61:N64"/>
    <mergeCell ref="I105:I108"/>
    <mergeCell ref="I109:I112"/>
    <mergeCell ref="I113:I116"/>
    <mergeCell ref="I117:I120"/>
    <mergeCell ref="I121:I124"/>
    <mergeCell ref="I125:I128"/>
    <mergeCell ref="N65:N68"/>
    <mergeCell ref="N69:N72"/>
    <mergeCell ref="S33:S36"/>
    <mergeCell ref="S37:S40"/>
    <mergeCell ref="S41:S44"/>
    <mergeCell ref="S45:S48"/>
    <mergeCell ref="S49:S52"/>
    <mergeCell ref="S53:S56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64"/>
  <sheetViews>
    <sheetView topLeftCell="A30" workbookViewId="0">
      <selection activeCell="N54" sqref="N54"/>
    </sheetView>
  </sheetViews>
  <sheetFormatPr defaultRowHeight="15" x14ac:dyDescent="0.25"/>
  <cols>
    <col min="3" max="3" width="8.85546875" customWidth="1"/>
    <col min="4" max="4" width="7.85546875" customWidth="1"/>
    <col min="5" max="6" width="8.85546875" customWidth="1"/>
    <col min="7" max="7" width="7.85546875" customWidth="1"/>
    <col min="8" max="8" width="7.42578125" customWidth="1"/>
    <col min="9" max="9" width="8.140625" customWidth="1"/>
    <col min="10" max="10" width="6" customWidth="1"/>
  </cols>
  <sheetData>
    <row r="2" spans="2:18" ht="20.25" x14ac:dyDescent="0.3">
      <c r="B2" s="190" t="s">
        <v>355</v>
      </c>
    </row>
    <row r="3" spans="2:18" ht="21" thickBot="1" x14ac:dyDescent="0.35">
      <c r="B3" s="190" t="s">
        <v>356</v>
      </c>
    </row>
    <row r="4" spans="2:18" ht="19.5" customHeight="1" x14ac:dyDescent="0.35">
      <c r="B4" s="278" t="s">
        <v>204</v>
      </c>
      <c r="C4" s="281" t="s">
        <v>346</v>
      </c>
      <c r="D4" s="282"/>
      <c r="E4" s="282"/>
      <c r="F4" s="283"/>
      <c r="G4" s="283"/>
      <c r="H4" s="284"/>
      <c r="I4" s="285"/>
      <c r="K4" s="278" t="s">
        <v>204</v>
      </c>
      <c r="L4" s="281" t="s">
        <v>346</v>
      </c>
      <c r="M4" s="282"/>
      <c r="N4" s="282"/>
      <c r="O4" s="283"/>
      <c r="P4" s="283"/>
      <c r="Q4" s="284"/>
      <c r="R4" s="285"/>
    </row>
    <row r="5" spans="2:18" ht="39" customHeight="1" x14ac:dyDescent="0.35">
      <c r="B5" s="279"/>
      <c r="C5" s="211" t="s">
        <v>348</v>
      </c>
      <c r="D5" s="211" t="s">
        <v>349</v>
      </c>
      <c r="E5" s="211" t="s">
        <v>350</v>
      </c>
      <c r="F5" s="211" t="s">
        <v>351</v>
      </c>
      <c r="G5" s="211" t="s">
        <v>352</v>
      </c>
      <c r="H5" s="211" t="s">
        <v>353</v>
      </c>
      <c r="I5" s="212" t="s">
        <v>354</v>
      </c>
      <c r="K5" s="279"/>
      <c r="L5" s="211" t="s">
        <v>348</v>
      </c>
      <c r="M5" s="211" t="s">
        <v>349</v>
      </c>
      <c r="N5" s="211" t="s">
        <v>350</v>
      </c>
      <c r="O5" s="211" t="s">
        <v>351</v>
      </c>
      <c r="P5" s="211" t="s">
        <v>352</v>
      </c>
      <c r="Q5" s="211" t="s">
        <v>353</v>
      </c>
      <c r="R5" s="212" t="s">
        <v>354</v>
      </c>
    </row>
    <row r="6" spans="2:18" ht="21" x14ac:dyDescent="0.4">
      <c r="B6" s="280"/>
      <c r="C6" s="263" t="s">
        <v>347</v>
      </c>
      <c r="D6" s="287"/>
      <c r="E6" s="287"/>
      <c r="F6" s="287"/>
      <c r="G6" s="287"/>
      <c r="H6" s="288"/>
      <c r="I6" s="289"/>
      <c r="K6" s="280"/>
      <c r="L6" s="245" t="s">
        <v>347</v>
      </c>
      <c r="M6" s="259"/>
      <c r="N6" s="259"/>
      <c r="O6" s="259"/>
      <c r="P6" s="259"/>
      <c r="Q6" s="250"/>
      <c r="R6" s="286"/>
    </row>
    <row r="7" spans="2:18" ht="18.75" x14ac:dyDescent="0.3">
      <c r="B7" s="202">
        <v>1</v>
      </c>
      <c r="C7" s="155">
        <f ca="1">RANDBETWEEN(5,9)</f>
        <v>7</v>
      </c>
      <c r="D7" s="155">
        <f ca="1">RANDBETWEEN(8,15)</f>
        <v>14</v>
      </c>
      <c r="E7" s="155">
        <f ca="1">RANDBETWEEN(10,30)</f>
        <v>25</v>
      </c>
      <c r="F7" s="155">
        <f t="shared" ref="F7:G22" ca="1" si="0">RANDBETWEEN(10,30)</f>
        <v>30</v>
      </c>
      <c r="G7" s="155">
        <f t="shared" ca="1" si="0"/>
        <v>20</v>
      </c>
      <c r="H7" s="155">
        <f ca="1">RANDBETWEEN(8,15)</f>
        <v>15</v>
      </c>
      <c r="I7" s="203">
        <f ca="1">RANDBETWEEN(5,9)</f>
        <v>9</v>
      </c>
      <c r="K7" s="207">
        <v>14</v>
      </c>
      <c r="L7" s="208">
        <f t="shared" ref="L7:L19" ca="1" si="1">RANDBETWEEN(5,9)</f>
        <v>5</v>
      </c>
      <c r="M7" s="208">
        <f t="shared" ref="M7:M19" ca="1" si="2">RANDBETWEEN(8,15)</f>
        <v>13</v>
      </c>
      <c r="N7" s="208">
        <f t="shared" ref="N7:P19" ca="1" si="3">RANDBETWEEN(10,30)</f>
        <v>17</v>
      </c>
      <c r="O7" s="208">
        <f t="shared" ca="1" si="3"/>
        <v>24</v>
      </c>
      <c r="P7" s="208">
        <f t="shared" ca="1" si="3"/>
        <v>12</v>
      </c>
      <c r="Q7" s="208">
        <f t="shared" ref="Q7:Q19" ca="1" si="4">RANDBETWEEN(8,15)</f>
        <v>8</v>
      </c>
      <c r="R7" s="209">
        <f t="shared" ref="R7:R19" ca="1" si="5">RANDBETWEEN(5,9)</f>
        <v>9</v>
      </c>
    </row>
    <row r="8" spans="2:18" ht="18.75" x14ac:dyDescent="0.3">
      <c r="B8" s="202">
        <v>2</v>
      </c>
      <c r="C8" s="155">
        <f t="shared" ref="C8:C32" ca="1" si="6">RANDBETWEEN(5,9)</f>
        <v>9</v>
      </c>
      <c r="D8" s="155">
        <f t="shared" ref="D8:D32" ca="1" si="7">RANDBETWEEN(8,15)</f>
        <v>10</v>
      </c>
      <c r="E8" s="155">
        <f t="shared" ref="E8:G32" ca="1" si="8">RANDBETWEEN(10,30)</f>
        <v>18</v>
      </c>
      <c r="F8" s="155">
        <f t="shared" ca="1" si="0"/>
        <v>10</v>
      </c>
      <c r="G8" s="155">
        <f t="shared" ca="1" si="0"/>
        <v>14</v>
      </c>
      <c r="H8" s="155">
        <f t="shared" ref="H8:H32" ca="1" si="9">RANDBETWEEN(8,15)</f>
        <v>9</v>
      </c>
      <c r="I8" s="203">
        <f t="shared" ref="I8:I32" ca="1" si="10">RANDBETWEEN(5,9)</f>
        <v>7</v>
      </c>
      <c r="K8" s="202">
        <v>15</v>
      </c>
      <c r="L8" s="155">
        <f t="shared" ca="1" si="1"/>
        <v>7</v>
      </c>
      <c r="M8" s="155">
        <f t="shared" ca="1" si="2"/>
        <v>9</v>
      </c>
      <c r="N8" s="155">
        <f t="shared" ca="1" si="3"/>
        <v>10</v>
      </c>
      <c r="O8" s="155">
        <f t="shared" ca="1" si="3"/>
        <v>30</v>
      </c>
      <c r="P8" s="155">
        <f t="shared" ca="1" si="3"/>
        <v>21</v>
      </c>
      <c r="Q8" s="155">
        <f t="shared" ca="1" si="4"/>
        <v>11</v>
      </c>
      <c r="R8" s="203">
        <f t="shared" ca="1" si="5"/>
        <v>6</v>
      </c>
    </row>
    <row r="9" spans="2:18" ht="18.75" x14ac:dyDescent="0.3">
      <c r="B9" s="202">
        <v>3</v>
      </c>
      <c r="C9" s="155">
        <f t="shared" ca="1" si="6"/>
        <v>5</v>
      </c>
      <c r="D9" s="155">
        <f t="shared" ca="1" si="7"/>
        <v>9</v>
      </c>
      <c r="E9" s="155">
        <f t="shared" ca="1" si="8"/>
        <v>13</v>
      </c>
      <c r="F9" s="155">
        <f t="shared" ca="1" si="0"/>
        <v>12</v>
      </c>
      <c r="G9" s="155">
        <f t="shared" ca="1" si="0"/>
        <v>14</v>
      </c>
      <c r="H9" s="155">
        <f t="shared" ca="1" si="9"/>
        <v>8</v>
      </c>
      <c r="I9" s="203">
        <f t="shared" ca="1" si="10"/>
        <v>8</v>
      </c>
      <c r="K9" s="202">
        <v>16</v>
      </c>
      <c r="L9" s="155">
        <f t="shared" ca="1" si="1"/>
        <v>8</v>
      </c>
      <c r="M9" s="155">
        <f t="shared" ca="1" si="2"/>
        <v>8</v>
      </c>
      <c r="N9" s="155">
        <f t="shared" ca="1" si="3"/>
        <v>23</v>
      </c>
      <c r="O9" s="155">
        <f t="shared" ca="1" si="3"/>
        <v>13</v>
      </c>
      <c r="P9" s="155">
        <f t="shared" ca="1" si="3"/>
        <v>26</v>
      </c>
      <c r="Q9" s="155">
        <f t="shared" ca="1" si="4"/>
        <v>8</v>
      </c>
      <c r="R9" s="203">
        <f t="shared" ca="1" si="5"/>
        <v>9</v>
      </c>
    </row>
    <row r="10" spans="2:18" ht="18.75" x14ac:dyDescent="0.3">
      <c r="B10" s="202">
        <v>4</v>
      </c>
      <c r="C10" s="155">
        <f t="shared" ca="1" si="6"/>
        <v>8</v>
      </c>
      <c r="D10" s="155">
        <f t="shared" ca="1" si="7"/>
        <v>15</v>
      </c>
      <c r="E10" s="155">
        <f t="shared" ca="1" si="8"/>
        <v>21</v>
      </c>
      <c r="F10" s="155">
        <f t="shared" ca="1" si="0"/>
        <v>22</v>
      </c>
      <c r="G10" s="155">
        <f t="shared" ca="1" si="0"/>
        <v>11</v>
      </c>
      <c r="H10" s="155">
        <f t="shared" ca="1" si="9"/>
        <v>9</v>
      </c>
      <c r="I10" s="203">
        <f t="shared" ca="1" si="10"/>
        <v>7</v>
      </c>
      <c r="K10" s="202">
        <v>17</v>
      </c>
      <c r="L10" s="155">
        <f t="shared" ca="1" si="1"/>
        <v>5</v>
      </c>
      <c r="M10" s="155">
        <f t="shared" ca="1" si="2"/>
        <v>11</v>
      </c>
      <c r="N10" s="155">
        <f t="shared" ca="1" si="3"/>
        <v>19</v>
      </c>
      <c r="O10" s="155">
        <f t="shared" ca="1" si="3"/>
        <v>29</v>
      </c>
      <c r="P10" s="155">
        <f t="shared" ca="1" si="3"/>
        <v>26</v>
      </c>
      <c r="Q10" s="155">
        <f t="shared" ca="1" si="4"/>
        <v>15</v>
      </c>
      <c r="R10" s="203">
        <f t="shared" ca="1" si="5"/>
        <v>8</v>
      </c>
    </row>
    <row r="11" spans="2:18" ht="18.75" x14ac:dyDescent="0.3">
      <c r="B11" s="202">
        <v>5</v>
      </c>
      <c r="C11" s="155">
        <f t="shared" ca="1" si="6"/>
        <v>7</v>
      </c>
      <c r="D11" s="155">
        <f t="shared" ca="1" si="7"/>
        <v>10</v>
      </c>
      <c r="E11" s="155">
        <f t="shared" ca="1" si="8"/>
        <v>14</v>
      </c>
      <c r="F11" s="155">
        <f t="shared" ca="1" si="0"/>
        <v>13</v>
      </c>
      <c r="G11" s="155">
        <f t="shared" ca="1" si="0"/>
        <v>24</v>
      </c>
      <c r="H11" s="155">
        <f t="shared" ca="1" si="9"/>
        <v>15</v>
      </c>
      <c r="I11" s="203">
        <f t="shared" ca="1" si="10"/>
        <v>5</v>
      </c>
      <c r="K11" s="202">
        <v>18</v>
      </c>
      <c r="L11" s="155">
        <f t="shared" ca="1" si="1"/>
        <v>7</v>
      </c>
      <c r="M11" s="155">
        <f t="shared" ca="1" si="2"/>
        <v>12</v>
      </c>
      <c r="N11" s="155">
        <f t="shared" ca="1" si="3"/>
        <v>17</v>
      </c>
      <c r="O11" s="155">
        <f t="shared" ca="1" si="3"/>
        <v>21</v>
      </c>
      <c r="P11" s="155">
        <f t="shared" ca="1" si="3"/>
        <v>30</v>
      </c>
      <c r="Q11" s="155">
        <f t="shared" ca="1" si="4"/>
        <v>8</v>
      </c>
      <c r="R11" s="203">
        <f t="shared" ca="1" si="5"/>
        <v>5</v>
      </c>
    </row>
    <row r="12" spans="2:18" ht="18.75" x14ac:dyDescent="0.3">
      <c r="B12" s="202">
        <v>6</v>
      </c>
      <c r="C12" s="155">
        <f t="shared" ca="1" si="6"/>
        <v>7</v>
      </c>
      <c r="D12" s="155">
        <f t="shared" ca="1" si="7"/>
        <v>14</v>
      </c>
      <c r="E12" s="155">
        <f t="shared" ca="1" si="8"/>
        <v>23</v>
      </c>
      <c r="F12" s="155">
        <f t="shared" ca="1" si="0"/>
        <v>10</v>
      </c>
      <c r="G12" s="155">
        <f t="shared" ca="1" si="0"/>
        <v>15</v>
      </c>
      <c r="H12" s="155">
        <f t="shared" ca="1" si="9"/>
        <v>8</v>
      </c>
      <c r="I12" s="203">
        <f t="shared" ca="1" si="10"/>
        <v>7</v>
      </c>
      <c r="K12" s="202">
        <v>19</v>
      </c>
      <c r="L12" s="155">
        <f t="shared" ca="1" si="1"/>
        <v>7</v>
      </c>
      <c r="M12" s="155">
        <f t="shared" ca="1" si="2"/>
        <v>14</v>
      </c>
      <c r="N12" s="155">
        <f t="shared" ca="1" si="3"/>
        <v>30</v>
      </c>
      <c r="O12" s="155">
        <f t="shared" ca="1" si="3"/>
        <v>24</v>
      </c>
      <c r="P12" s="155">
        <f t="shared" ca="1" si="3"/>
        <v>12</v>
      </c>
      <c r="Q12" s="155">
        <f t="shared" ca="1" si="4"/>
        <v>13</v>
      </c>
      <c r="R12" s="203">
        <f t="shared" ca="1" si="5"/>
        <v>9</v>
      </c>
    </row>
    <row r="13" spans="2:18" ht="18.75" x14ac:dyDescent="0.3">
      <c r="B13" s="202">
        <v>7</v>
      </c>
      <c r="C13" s="155">
        <f t="shared" ca="1" si="6"/>
        <v>5</v>
      </c>
      <c r="D13" s="155">
        <f t="shared" ca="1" si="7"/>
        <v>11</v>
      </c>
      <c r="E13" s="155">
        <f t="shared" ca="1" si="8"/>
        <v>19</v>
      </c>
      <c r="F13" s="155">
        <f t="shared" ca="1" si="0"/>
        <v>21</v>
      </c>
      <c r="G13" s="155">
        <f t="shared" ca="1" si="0"/>
        <v>14</v>
      </c>
      <c r="H13" s="155">
        <f t="shared" ca="1" si="9"/>
        <v>10</v>
      </c>
      <c r="I13" s="203">
        <f t="shared" ca="1" si="10"/>
        <v>7</v>
      </c>
      <c r="K13" s="202">
        <v>20</v>
      </c>
      <c r="L13" s="155">
        <f t="shared" ca="1" si="1"/>
        <v>6</v>
      </c>
      <c r="M13" s="155">
        <f t="shared" ca="1" si="2"/>
        <v>14</v>
      </c>
      <c r="N13" s="155">
        <f t="shared" ca="1" si="3"/>
        <v>16</v>
      </c>
      <c r="O13" s="155">
        <f t="shared" ca="1" si="3"/>
        <v>15</v>
      </c>
      <c r="P13" s="155">
        <f t="shared" ca="1" si="3"/>
        <v>21</v>
      </c>
      <c r="Q13" s="155">
        <f t="shared" ca="1" si="4"/>
        <v>11</v>
      </c>
      <c r="R13" s="203">
        <f t="shared" ca="1" si="5"/>
        <v>7</v>
      </c>
    </row>
    <row r="14" spans="2:18" ht="18.75" x14ac:dyDescent="0.3">
      <c r="B14" s="202">
        <v>8</v>
      </c>
      <c r="C14" s="155">
        <f t="shared" ca="1" si="6"/>
        <v>9</v>
      </c>
      <c r="D14" s="155">
        <f t="shared" ca="1" si="7"/>
        <v>11</v>
      </c>
      <c r="E14" s="155">
        <f t="shared" ca="1" si="8"/>
        <v>11</v>
      </c>
      <c r="F14" s="155">
        <f t="shared" ca="1" si="0"/>
        <v>30</v>
      </c>
      <c r="G14" s="155">
        <f t="shared" ca="1" si="0"/>
        <v>23</v>
      </c>
      <c r="H14" s="155">
        <f t="shared" ca="1" si="9"/>
        <v>14</v>
      </c>
      <c r="I14" s="203">
        <f t="shared" ca="1" si="10"/>
        <v>9</v>
      </c>
      <c r="K14" s="202">
        <v>21</v>
      </c>
      <c r="L14" s="155">
        <f t="shared" ca="1" si="1"/>
        <v>8</v>
      </c>
      <c r="M14" s="155">
        <f t="shared" ca="1" si="2"/>
        <v>12</v>
      </c>
      <c r="N14" s="155">
        <f t="shared" ca="1" si="3"/>
        <v>22</v>
      </c>
      <c r="O14" s="155">
        <f t="shared" ca="1" si="3"/>
        <v>11</v>
      </c>
      <c r="P14" s="155">
        <f t="shared" ca="1" si="3"/>
        <v>14</v>
      </c>
      <c r="Q14" s="155">
        <f t="shared" ca="1" si="4"/>
        <v>11</v>
      </c>
      <c r="R14" s="203">
        <f t="shared" ca="1" si="5"/>
        <v>7</v>
      </c>
    </row>
    <row r="15" spans="2:18" ht="18.75" x14ac:dyDescent="0.3">
      <c r="B15" s="202">
        <v>9</v>
      </c>
      <c r="C15" s="155">
        <f t="shared" ca="1" si="6"/>
        <v>9</v>
      </c>
      <c r="D15" s="155">
        <f t="shared" ca="1" si="7"/>
        <v>15</v>
      </c>
      <c r="E15" s="155">
        <f t="shared" ca="1" si="8"/>
        <v>27</v>
      </c>
      <c r="F15" s="155">
        <f t="shared" ca="1" si="0"/>
        <v>16</v>
      </c>
      <c r="G15" s="155">
        <f t="shared" ca="1" si="0"/>
        <v>22</v>
      </c>
      <c r="H15" s="155">
        <f t="shared" ca="1" si="9"/>
        <v>11</v>
      </c>
      <c r="I15" s="203">
        <f t="shared" ca="1" si="10"/>
        <v>9</v>
      </c>
      <c r="K15" s="202">
        <v>22</v>
      </c>
      <c r="L15" s="155">
        <f t="shared" ca="1" si="1"/>
        <v>6</v>
      </c>
      <c r="M15" s="155">
        <f t="shared" ca="1" si="2"/>
        <v>13</v>
      </c>
      <c r="N15" s="155">
        <f t="shared" ca="1" si="3"/>
        <v>27</v>
      </c>
      <c r="O15" s="155">
        <f t="shared" ca="1" si="3"/>
        <v>27</v>
      </c>
      <c r="P15" s="155">
        <f t="shared" ca="1" si="3"/>
        <v>26</v>
      </c>
      <c r="Q15" s="155">
        <f t="shared" ca="1" si="4"/>
        <v>10</v>
      </c>
      <c r="R15" s="203">
        <f t="shared" ca="1" si="5"/>
        <v>9</v>
      </c>
    </row>
    <row r="16" spans="2:18" ht="18.75" x14ac:dyDescent="0.3">
      <c r="B16" s="202">
        <v>10</v>
      </c>
      <c r="C16" s="155">
        <f t="shared" ca="1" si="6"/>
        <v>7</v>
      </c>
      <c r="D16" s="155">
        <f t="shared" ca="1" si="7"/>
        <v>14</v>
      </c>
      <c r="E16" s="155">
        <f t="shared" ca="1" si="8"/>
        <v>19</v>
      </c>
      <c r="F16" s="155">
        <f t="shared" ca="1" si="0"/>
        <v>28</v>
      </c>
      <c r="G16" s="155">
        <f t="shared" ca="1" si="0"/>
        <v>12</v>
      </c>
      <c r="H16" s="155">
        <f t="shared" ca="1" si="9"/>
        <v>8</v>
      </c>
      <c r="I16" s="203">
        <f t="shared" ca="1" si="10"/>
        <v>7</v>
      </c>
      <c r="K16" s="202">
        <v>23</v>
      </c>
      <c r="L16" s="155">
        <f t="shared" ca="1" si="1"/>
        <v>9</v>
      </c>
      <c r="M16" s="155">
        <f t="shared" ca="1" si="2"/>
        <v>9</v>
      </c>
      <c r="N16" s="155">
        <f t="shared" ca="1" si="3"/>
        <v>26</v>
      </c>
      <c r="O16" s="155">
        <f t="shared" ca="1" si="3"/>
        <v>17</v>
      </c>
      <c r="P16" s="155">
        <f t="shared" ca="1" si="3"/>
        <v>13</v>
      </c>
      <c r="Q16" s="155">
        <f t="shared" ca="1" si="4"/>
        <v>10</v>
      </c>
      <c r="R16" s="203">
        <f t="shared" ca="1" si="5"/>
        <v>7</v>
      </c>
    </row>
    <row r="17" spans="2:18" ht="18.75" x14ac:dyDescent="0.3">
      <c r="B17" s="202">
        <v>11</v>
      </c>
      <c r="C17" s="155">
        <f t="shared" ca="1" si="6"/>
        <v>9</v>
      </c>
      <c r="D17" s="155">
        <f t="shared" ca="1" si="7"/>
        <v>11</v>
      </c>
      <c r="E17" s="155">
        <f t="shared" ca="1" si="8"/>
        <v>12</v>
      </c>
      <c r="F17" s="155">
        <f t="shared" ca="1" si="0"/>
        <v>15</v>
      </c>
      <c r="G17" s="155">
        <f t="shared" ca="1" si="0"/>
        <v>18</v>
      </c>
      <c r="H17" s="155">
        <f t="shared" ca="1" si="9"/>
        <v>9</v>
      </c>
      <c r="I17" s="203">
        <f t="shared" ca="1" si="10"/>
        <v>8</v>
      </c>
      <c r="K17" s="202">
        <v>24</v>
      </c>
      <c r="L17" s="155">
        <f t="shared" ca="1" si="1"/>
        <v>7</v>
      </c>
      <c r="M17" s="155">
        <f t="shared" ca="1" si="2"/>
        <v>11</v>
      </c>
      <c r="N17" s="155">
        <f t="shared" ca="1" si="3"/>
        <v>26</v>
      </c>
      <c r="O17" s="155">
        <f t="shared" ca="1" si="3"/>
        <v>28</v>
      </c>
      <c r="P17" s="155">
        <f t="shared" ca="1" si="3"/>
        <v>12</v>
      </c>
      <c r="Q17" s="155">
        <f t="shared" ca="1" si="4"/>
        <v>13</v>
      </c>
      <c r="R17" s="203">
        <f t="shared" ca="1" si="5"/>
        <v>6</v>
      </c>
    </row>
    <row r="18" spans="2:18" ht="18.75" x14ac:dyDescent="0.3">
      <c r="B18" s="202">
        <v>12</v>
      </c>
      <c r="C18" s="155">
        <f t="shared" ca="1" si="6"/>
        <v>9</v>
      </c>
      <c r="D18" s="155">
        <f t="shared" ca="1" si="7"/>
        <v>15</v>
      </c>
      <c r="E18" s="155">
        <f t="shared" ca="1" si="8"/>
        <v>12</v>
      </c>
      <c r="F18" s="155">
        <f t="shared" ca="1" si="0"/>
        <v>29</v>
      </c>
      <c r="G18" s="155">
        <f t="shared" ca="1" si="0"/>
        <v>10</v>
      </c>
      <c r="H18" s="155">
        <f t="shared" ca="1" si="9"/>
        <v>12</v>
      </c>
      <c r="I18" s="203">
        <f t="shared" ca="1" si="10"/>
        <v>5</v>
      </c>
      <c r="K18" s="202">
        <v>25</v>
      </c>
      <c r="L18" s="155">
        <f t="shared" ca="1" si="1"/>
        <v>6</v>
      </c>
      <c r="M18" s="155">
        <f t="shared" ca="1" si="2"/>
        <v>9</v>
      </c>
      <c r="N18" s="155">
        <f t="shared" ca="1" si="3"/>
        <v>12</v>
      </c>
      <c r="O18" s="155">
        <f t="shared" ca="1" si="3"/>
        <v>21</v>
      </c>
      <c r="P18" s="155">
        <f t="shared" ca="1" si="3"/>
        <v>21</v>
      </c>
      <c r="Q18" s="155">
        <f t="shared" ca="1" si="4"/>
        <v>12</v>
      </c>
      <c r="R18" s="203">
        <f t="shared" ca="1" si="5"/>
        <v>5</v>
      </c>
    </row>
    <row r="19" spans="2:18" ht="19.5" thickBot="1" x14ac:dyDescent="0.35">
      <c r="B19" s="204">
        <v>13</v>
      </c>
      <c r="C19" s="205">
        <f t="shared" ca="1" si="6"/>
        <v>7</v>
      </c>
      <c r="D19" s="205">
        <f t="shared" ca="1" si="7"/>
        <v>15</v>
      </c>
      <c r="E19" s="205">
        <f t="shared" ca="1" si="8"/>
        <v>23</v>
      </c>
      <c r="F19" s="205">
        <f t="shared" ca="1" si="0"/>
        <v>12</v>
      </c>
      <c r="G19" s="205">
        <f t="shared" ca="1" si="0"/>
        <v>13</v>
      </c>
      <c r="H19" s="205">
        <f t="shared" ca="1" si="9"/>
        <v>12</v>
      </c>
      <c r="I19" s="206">
        <f t="shared" ca="1" si="10"/>
        <v>6</v>
      </c>
      <c r="K19" s="204">
        <v>26</v>
      </c>
      <c r="L19" s="205">
        <f t="shared" ca="1" si="1"/>
        <v>7</v>
      </c>
      <c r="M19" s="205">
        <f t="shared" ca="1" si="2"/>
        <v>9</v>
      </c>
      <c r="N19" s="205">
        <f t="shared" ca="1" si="3"/>
        <v>28</v>
      </c>
      <c r="O19" s="205">
        <f t="shared" ca="1" si="3"/>
        <v>21</v>
      </c>
      <c r="P19" s="205">
        <f t="shared" ca="1" si="3"/>
        <v>26</v>
      </c>
      <c r="Q19" s="205">
        <f t="shared" ca="1" si="4"/>
        <v>8</v>
      </c>
      <c r="R19" s="206">
        <f t="shared" ca="1" si="5"/>
        <v>8</v>
      </c>
    </row>
    <row r="20" spans="2:18" ht="18.75" x14ac:dyDescent="0.3">
      <c r="B20" s="207">
        <v>14</v>
      </c>
      <c r="C20" s="208">
        <f t="shared" ca="1" si="6"/>
        <v>8</v>
      </c>
      <c r="D20" s="208">
        <f t="shared" ca="1" si="7"/>
        <v>14</v>
      </c>
      <c r="E20" s="208">
        <f t="shared" ca="1" si="8"/>
        <v>27</v>
      </c>
      <c r="F20" s="208">
        <f t="shared" ca="1" si="0"/>
        <v>27</v>
      </c>
      <c r="G20" s="208">
        <f t="shared" ca="1" si="0"/>
        <v>17</v>
      </c>
      <c r="H20" s="208">
        <f t="shared" ca="1" si="9"/>
        <v>15</v>
      </c>
      <c r="I20" s="209">
        <f t="shared" ca="1" si="10"/>
        <v>9</v>
      </c>
    </row>
    <row r="21" spans="2:18" ht="18.75" x14ac:dyDescent="0.3">
      <c r="B21" s="202">
        <v>15</v>
      </c>
      <c r="C21" s="155">
        <f t="shared" ca="1" si="6"/>
        <v>5</v>
      </c>
      <c r="D21" s="155">
        <f t="shared" ca="1" si="7"/>
        <v>9</v>
      </c>
      <c r="E21" s="155">
        <f t="shared" ca="1" si="8"/>
        <v>23</v>
      </c>
      <c r="F21" s="155">
        <f t="shared" ca="1" si="0"/>
        <v>12</v>
      </c>
      <c r="G21" s="155">
        <f t="shared" ca="1" si="0"/>
        <v>26</v>
      </c>
      <c r="H21" s="155">
        <f t="shared" ca="1" si="9"/>
        <v>9</v>
      </c>
      <c r="I21" s="203">
        <f t="shared" ca="1" si="10"/>
        <v>6</v>
      </c>
    </row>
    <row r="22" spans="2:18" ht="18.75" x14ac:dyDescent="0.3">
      <c r="B22" s="202">
        <v>16</v>
      </c>
      <c r="C22" s="155">
        <f t="shared" ca="1" si="6"/>
        <v>5</v>
      </c>
      <c r="D22" s="155">
        <f t="shared" ca="1" si="7"/>
        <v>12</v>
      </c>
      <c r="E22" s="155">
        <f t="shared" ca="1" si="8"/>
        <v>14</v>
      </c>
      <c r="F22" s="155">
        <f t="shared" ca="1" si="0"/>
        <v>15</v>
      </c>
      <c r="G22" s="155">
        <f t="shared" ca="1" si="0"/>
        <v>28</v>
      </c>
      <c r="H22" s="155">
        <f t="shared" ca="1" si="9"/>
        <v>13</v>
      </c>
      <c r="I22" s="203">
        <f t="shared" ca="1" si="10"/>
        <v>7</v>
      </c>
    </row>
    <row r="23" spans="2:18" ht="18.75" x14ac:dyDescent="0.3">
      <c r="B23" s="202">
        <v>17</v>
      </c>
      <c r="C23" s="155">
        <f t="shared" ca="1" si="6"/>
        <v>6</v>
      </c>
      <c r="D23" s="155">
        <f t="shared" ca="1" si="7"/>
        <v>11</v>
      </c>
      <c r="E23" s="155">
        <f t="shared" ca="1" si="8"/>
        <v>16</v>
      </c>
      <c r="F23" s="155">
        <f t="shared" ca="1" si="8"/>
        <v>13</v>
      </c>
      <c r="G23" s="155">
        <f t="shared" ca="1" si="8"/>
        <v>14</v>
      </c>
      <c r="H23" s="155">
        <f t="shared" ca="1" si="9"/>
        <v>13</v>
      </c>
      <c r="I23" s="203">
        <f t="shared" ca="1" si="10"/>
        <v>5</v>
      </c>
    </row>
    <row r="24" spans="2:18" ht="18.75" x14ac:dyDescent="0.3">
      <c r="B24" s="202">
        <v>18</v>
      </c>
      <c r="C24" s="155">
        <f t="shared" ca="1" si="6"/>
        <v>9</v>
      </c>
      <c r="D24" s="155">
        <f t="shared" ca="1" si="7"/>
        <v>11</v>
      </c>
      <c r="E24" s="155">
        <f t="shared" ca="1" si="8"/>
        <v>24</v>
      </c>
      <c r="F24" s="155">
        <f t="shared" ca="1" si="8"/>
        <v>15</v>
      </c>
      <c r="G24" s="155">
        <f t="shared" ca="1" si="8"/>
        <v>20</v>
      </c>
      <c r="H24" s="155">
        <f t="shared" ca="1" si="9"/>
        <v>8</v>
      </c>
      <c r="I24" s="203">
        <f t="shared" ca="1" si="10"/>
        <v>8</v>
      </c>
    </row>
    <row r="25" spans="2:18" ht="18.75" x14ac:dyDescent="0.3">
      <c r="B25" s="202">
        <v>19</v>
      </c>
      <c r="C25" s="155">
        <f t="shared" ca="1" si="6"/>
        <v>7</v>
      </c>
      <c r="D25" s="155">
        <f t="shared" ca="1" si="7"/>
        <v>11</v>
      </c>
      <c r="E25" s="155">
        <f t="shared" ca="1" si="8"/>
        <v>12</v>
      </c>
      <c r="F25" s="155">
        <f t="shared" ca="1" si="8"/>
        <v>12</v>
      </c>
      <c r="G25" s="155">
        <f t="shared" ca="1" si="8"/>
        <v>17</v>
      </c>
      <c r="H25" s="155">
        <f t="shared" ca="1" si="9"/>
        <v>10</v>
      </c>
      <c r="I25" s="203">
        <f t="shared" ca="1" si="10"/>
        <v>6</v>
      </c>
    </row>
    <row r="26" spans="2:18" ht="18.75" x14ac:dyDescent="0.3">
      <c r="B26" s="202">
        <v>20</v>
      </c>
      <c r="C26" s="155">
        <f t="shared" ca="1" si="6"/>
        <v>9</v>
      </c>
      <c r="D26" s="155">
        <f t="shared" ca="1" si="7"/>
        <v>15</v>
      </c>
      <c r="E26" s="155">
        <f t="shared" ca="1" si="8"/>
        <v>23</v>
      </c>
      <c r="F26" s="155">
        <f t="shared" ca="1" si="8"/>
        <v>20</v>
      </c>
      <c r="G26" s="155">
        <f t="shared" ca="1" si="8"/>
        <v>20</v>
      </c>
      <c r="H26" s="155">
        <f t="shared" ca="1" si="9"/>
        <v>10</v>
      </c>
      <c r="I26" s="203">
        <f t="shared" ca="1" si="10"/>
        <v>7</v>
      </c>
    </row>
    <row r="27" spans="2:18" ht="18.75" x14ac:dyDescent="0.3">
      <c r="B27" s="202">
        <v>21</v>
      </c>
      <c r="C27" s="155">
        <f t="shared" ca="1" si="6"/>
        <v>5</v>
      </c>
      <c r="D27" s="155">
        <f t="shared" ca="1" si="7"/>
        <v>13</v>
      </c>
      <c r="E27" s="155">
        <f t="shared" ca="1" si="8"/>
        <v>24</v>
      </c>
      <c r="F27" s="155">
        <f t="shared" ca="1" si="8"/>
        <v>14</v>
      </c>
      <c r="G27" s="155">
        <f t="shared" ca="1" si="8"/>
        <v>23</v>
      </c>
      <c r="H27" s="155">
        <f t="shared" ca="1" si="9"/>
        <v>12</v>
      </c>
      <c r="I27" s="203">
        <f t="shared" ca="1" si="10"/>
        <v>6</v>
      </c>
    </row>
    <row r="28" spans="2:18" ht="18.75" x14ac:dyDescent="0.3">
      <c r="B28" s="202">
        <v>22</v>
      </c>
      <c r="C28" s="155">
        <f t="shared" ca="1" si="6"/>
        <v>8</v>
      </c>
      <c r="D28" s="155">
        <f t="shared" ca="1" si="7"/>
        <v>14</v>
      </c>
      <c r="E28" s="155">
        <f t="shared" ca="1" si="8"/>
        <v>24</v>
      </c>
      <c r="F28" s="155">
        <f t="shared" ca="1" si="8"/>
        <v>16</v>
      </c>
      <c r="G28" s="155">
        <f t="shared" ca="1" si="8"/>
        <v>11</v>
      </c>
      <c r="H28" s="155">
        <f t="shared" ca="1" si="9"/>
        <v>8</v>
      </c>
      <c r="I28" s="203">
        <f t="shared" ca="1" si="10"/>
        <v>8</v>
      </c>
    </row>
    <row r="29" spans="2:18" ht="18.75" x14ac:dyDescent="0.3">
      <c r="B29" s="202">
        <v>23</v>
      </c>
      <c r="C29" s="155">
        <f t="shared" ca="1" si="6"/>
        <v>7</v>
      </c>
      <c r="D29" s="155">
        <f t="shared" ca="1" si="7"/>
        <v>9</v>
      </c>
      <c r="E29" s="155">
        <f t="shared" ca="1" si="8"/>
        <v>24</v>
      </c>
      <c r="F29" s="155">
        <f t="shared" ca="1" si="8"/>
        <v>11</v>
      </c>
      <c r="G29" s="155">
        <f t="shared" ca="1" si="8"/>
        <v>15</v>
      </c>
      <c r="H29" s="155">
        <f t="shared" ca="1" si="9"/>
        <v>15</v>
      </c>
      <c r="I29" s="203">
        <f t="shared" ca="1" si="10"/>
        <v>5</v>
      </c>
    </row>
    <row r="30" spans="2:18" ht="18.75" x14ac:dyDescent="0.3">
      <c r="B30" s="202">
        <v>24</v>
      </c>
      <c r="C30" s="155">
        <f t="shared" ca="1" si="6"/>
        <v>5</v>
      </c>
      <c r="D30" s="155">
        <f t="shared" ca="1" si="7"/>
        <v>9</v>
      </c>
      <c r="E30" s="155">
        <f t="shared" ca="1" si="8"/>
        <v>19</v>
      </c>
      <c r="F30" s="155">
        <f t="shared" ca="1" si="8"/>
        <v>22</v>
      </c>
      <c r="G30" s="155">
        <f t="shared" ca="1" si="8"/>
        <v>26</v>
      </c>
      <c r="H30" s="155">
        <f t="shared" ca="1" si="9"/>
        <v>15</v>
      </c>
      <c r="I30" s="203">
        <f t="shared" ca="1" si="10"/>
        <v>8</v>
      </c>
    </row>
    <row r="31" spans="2:18" ht="18.75" x14ac:dyDescent="0.3">
      <c r="B31" s="202">
        <v>25</v>
      </c>
      <c r="C31" s="155">
        <f t="shared" ca="1" si="6"/>
        <v>5</v>
      </c>
      <c r="D31" s="155">
        <f t="shared" ca="1" si="7"/>
        <v>8</v>
      </c>
      <c r="E31" s="155">
        <f t="shared" ca="1" si="8"/>
        <v>22</v>
      </c>
      <c r="F31" s="155">
        <f t="shared" ca="1" si="8"/>
        <v>11</v>
      </c>
      <c r="G31" s="155">
        <f t="shared" ca="1" si="8"/>
        <v>19</v>
      </c>
      <c r="H31" s="155">
        <f t="shared" ca="1" si="9"/>
        <v>15</v>
      </c>
      <c r="I31" s="203">
        <f t="shared" ca="1" si="10"/>
        <v>9</v>
      </c>
    </row>
    <row r="32" spans="2:18" ht="19.5" thickBot="1" x14ac:dyDescent="0.35">
      <c r="B32" s="204">
        <v>26</v>
      </c>
      <c r="C32" s="205">
        <f t="shared" ca="1" si="6"/>
        <v>9</v>
      </c>
      <c r="D32" s="205">
        <f t="shared" ca="1" si="7"/>
        <v>8</v>
      </c>
      <c r="E32" s="205">
        <f t="shared" ca="1" si="8"/>
        <v>10</v>
      </c>
      <c r="F32" s="205">
        <f t="shared" ca="1" si="8"/>
        <v>11</v>
      </c>
      <c r="G32" s="205">
        <f t="shared" ca="1" si="8"/>
        <v>28</v>
      </c>
      <c r="H32" s="205">
        <f t="shared" ca="1" si="9"/>
        <v>12</v>
      </c>
      <c r="I32" s="206">
        <f t="shared" ca="1" si="10"/>
        <v>5</v>
      </c>
    </row>
    <row r="34" spans="2:18" ht="23.25" x14ac:dyDescent="0.35">
      <c r="B34" s="210" t="s">
        <v>359</v>
      </c>
    </row>
    <row r="35" spans="2:18" ht="24" thickBot="1" x14ac:dyDescent="0.4">
      <c r="B35" s="210" t="s">
        <v>360</v>
      </c>
    </row>
    <row r="36" spans="2:18" ht="21" x14ac:dyDescent="0.4">
      <c r="B36" s="278" t="s">
        <v>204</v>
      </c>
      <c r="C36" s="281" t="s">
        <v>357</v>
      </c>
      <c r="D36" s="282"/>
      <c r="E36" s="282"/>
      <c r="F36" s="283"/>
      <c r="G36" s="283"/>
      <c r="H36" s="284"/>
      <c r="I36" s="285"/>
      <c r="K36" s="278" t="s">
        <v>204</v>
      </c>
      <c r="L36" s="281" t="s">
        <v>357</v>
      </c>
      <c r="M36" s="282"/>
      <c r="N36" s="282"/>
      <c r="O36" s="283"/>
      <c r="P36" s="283"/>
      <c r="Q36" s="284"/>
      <c r="R36" s="285"/>
    </row>
    <row r="37" spans="2:18" ht="19.5" x14ac:dyDescent="0.35">
      <c r="B37" s="279"/>
      <c r="C37" s="211">
        <v>0</v>
      </c>
      <c r="D37" s="211">
        <v>1</v>
      </c>
      <c r="E37" s="211">
        <v>2</v>
      </c>
      <c r="F37" s="211">
        <v>3</v>
      </c>
      <c r="G37" s="211">
        <v>4</v>
      </c>
      <c r="H37" s="211">
        <v>5</v>
      </c>
      <c r="I37" s="212">
        <v>6</v>
      </c>
      <c r="K37" s="279"/>
      <c r="L37" s="211">
        <v>0</v>
      </c>
      <c r="M37" s="211">
        <v>1</v>
      </c>
      <c r="N37" s="211">
        <v>2</v>
      </c>
      <c r="O37" s="211">
        <v>3</v>
      </c>
      <c r="P37" s="211">
        <v>4</v>
      </c>
      <c r="Q37" s="211">
        <v>5</v>
      </c>
      <c r="R37" s="212">
        <v>6</v>
      </c>
    </row>
    <row r="38" spans="2:18" ht="21" x14ac:dyDescent="0.4">
      <c r="B38" s="280"/>
      <c r="C38" s="263" t="s">
        <v>358</v>
      </c>
      <c r="D38" s="287"/>
      <c r="E38" s="287"/>
      <c r="F38" s="287"/>
      <c r="G38" s="287"/>
      <c r="H38" s="288"/>
      <c r="I38" s="289"/>
      <c r="K38" s="280"/>
      <c r="L38" s="263" t="s">
        <v>358</v>
      </c>
      <c r="M38" s="287"/>
      <c r="N38" s="287"/>
      <c r="O38" s="287"/>
      <c r="P38" s="287"/>
      <c r="Q38" s="288"/>
      <c r="R38" s="289"/>
    </row>
    <row r="39" spans="2:18" ht="18.75" x14ac:dyDescent="0.3">
      <c r="B39" s="202">
        <v>1</v>
      </c>
      <c r="C39" s="155">
        <f ca="1">RANDBETWEEN(77,288)</f>
        <v>215</v>
      </c>
      <c r="D39" s="155">
        <f ca="1">RANDBETWEEN(66,99)</f>
        <v>83</v>
      </c>
      <c r="E39" s="155">
        <f ca="1">RANDBETWEEN(33,60)</f>
        <v>50</v>
      </c>
      <c r="F39" s="155">
        <f ca="1">RANDBETWEEN(20,33)</f>
        <v>27</v>
      </c>
      <c r="G39" s="155">
        <f ca="1">RANDBETWEEN(10,20)</f>
        <v>19</v>
      </c>
      <c r="H39" s="155">
        <f ca="1">RANDBETWEEN(7,10)</f>
        <v>9</v>
      </c>
      <c r="I39" s="203">
        <f ca="1">RANDBETWEEN(2,8)</f>
        <v>7</v>
      </c>
      <c r="J39" s="213"/>
      <c r="K39" s="207">
        <v>14</v>
      </c>
      <c r="L39" s="155">
        <f t="shared" ref="L39:L51" ca="1" si="11">RANDBETWEEN(77,288)</f>
        <v>236</v>
      </c>
      <c r="M39" s="155">
        <f t="shared" ref="M39:M51" ca="1" si="12">RANDBETWEEN(66,99)</f>
        <v>78</v>
      </c>
      <c r="N39" s="155">
        <f t="shared" ref="N39:N51" ca="1" si="13">RANDBETWEEN(33,60)</f>
        <v>42</v>
      </c>
      <c r="O39" s="155">
        <f t="shared" ref="O39:O51" ca="1" si="14">RANDBETWEEN(20,33)</f>
        <v>20</v>
      </c>
      <c r="P39" s="155">
        <f t="shared" ref="P39:P51" ca="1" si="15">RANDBETWEEN(10,20)</f>
        <v>15</v>
      </c>
      <c r="Q39" s="155">
        <f t="shared" ref="Q39:Q51" ca="1" si="16">RANDBETWEEN(7,10)</f>
        <v>9</v>
      </c>
      <c r="R39" s="203">
        <f t="shared" ref="R39:R51" ca="1" si="17">RANDBETWEEN(2,8)</f>
        <v>4</v>
      </c>
    </row>
    <row r="40" spans="2:18" ht="18.75" x14ac:dyDescent="0.3">
      <c r="B40" s="202">
        <v>2</v>
      </c>
      <c r="C40" s="155">
        <f t="shared" ref="C40:C64" ca="1" si="18">RANDBETWEEN(77,288)</f>
        <v>154</v>
      </c>
      <c r="D40" s="155">
        <f t="shared" ref="D40:D64" ca="1" si="19">RANDBETWEEN(66,99)</f>
        <v>96</v>
      </c>
      <c r="E40" s="155">
        <f t="shared" ref="E40:E64" ca="1" si="20">RANDBETWEEN(33,60)</f>
        <v>36</v>
      </c>
      <c r="F40" s="155">
        <f t="shared" ref="F40:F64" ca="1" si="21">RANDBETWEEN(20,33)</f>
        <v>25</v>
      </c>
      <c r="G40" s="155">
        <f t="shared" ref="G40:G64" ca="1" si="22">RANDBETWEEN(10,20)</f>
        <v>16</v>
      </c>
      <c r="H40" s="155">
        <f t="shared" ref="H40:H64" ca="1" si="23">RANDBETWEEN(7,10)</f>
        <v>10</v>
      </c>
      <c r="I40" s="203">
        <f t="shared" ref="I40:I64" ca="1" si="24">RANDBETWEEN(2,8)</f>
        <v>4</v>
      </c>
      <c r="J40" s="213"/>
      <c r="K40" s="202">
        <v>15</v>
      </c>
      <c r="L40" s="155">
        <f t="shared" ca="1" si="11"/>
        <v>103</v>
      </c>
      <c r="M40" s="155">
        <f t="shared" ca="1" si="12"/>
        <v>93</v>
      </c>
      <c r="N40" s="155">
        <f t="shared" ca="1" si="13"/>
        <v>55</v>
      </c>
      <c r="O40" s="155">
        <f t="shared" ca="1" si="14"/>
        <v>26</v>
      </c>
      <c r="P40" s="155">
        <f t="shared" ca="1" si="15"/>
        <v>20</v>
      </c>
      <c r="Q40" s="155">
        <f t="shared" ca="1" si="16"/>
        <v>10</v>
      </c>
      <c r="R40" s="203">
        <f t="shared" ca="1" si="17"/>
        <v>3</v>
      </c>
    </row>
    <row r="41" spans="2:18" ht="18.75" x14ac:dyDescent="0.3">
      <c r="B41" s="202">
        <v>3</v>
      </c>
      <c r="C41" s="155">
        <f t="shared" ca="1" si="18"/>
        <v>119</v>
      </c>
      <c r="D41" s="155">
        <f t="shared" ca="1" si="19"/>
        <v>82</v>
      </c>
      <c r="E41" s="155">
        <f t="shared" ca="1" si="20"/>
        <v>53</v>
      </c>
      <c r="F41" s="155">
        <f t="shared" ca="1" si="21"/>
        <v>24</v>
      </c>
      <c r="G41" s="155">
        <f t="shared" ca="1" si="22"/>
        <v>20</v>
      </c>
      <c r="H41" s="155">
        <f t="shared" ca="1" si="23"/>
        <v>10</v>
      </c>
      <c r="I41" s="203">
        <f t="shared" ca="1" si="24"/>
        <v>3</v>
      </c>
      <c r="J41" s="213"/>
      <c r="K41" s="202">
        <v>16</v>
      </c>
      <c r="L41" s="155">
        <f t="shared" ca="1" si="11"/>
        <v>168</v>
      </c>
      <c r="M41" s="155">
        <f t="shared" ca="1" si="12"/>
        <v>72</v>
      </c>
      <c r="N41" s="155">
        <f t="shared" ca="1" si="13"/>
        <v>42</v>
      </c>
      <c r="O41" s="155">
        <f t="shared" ca="1" si="14"/>
        <v>28</v>
      </c>
      <c r="P41" s="155">
        <f t="shared" ca="1" si="15"/>
        <v>14</v>
      </c>
      <c r="Q41" s="155">
        <f t="shared" ca="1" si="16"/>
        <v>9</v>
      </c>
      <c r="R41" s="203">
        <f t="shared" ca="1" si="17"/>
        <v>7</v>
      </c>
    </row>
    <row r="42" spans="2:18" ht="18.75" x14ac:dyDescent="0.3">
      <c r="B42" s="202">
        <v>4</v>
      </c>
      <c r="C42" s="155">
        <f t="shared" ca="1" si="18"/>
        <v>126</v>
      </c>
      <c r="D42" s="155">
        <f t="shared" ca="1" si="19"/>
        <v>95</v>
      </c>
      <c r="E42" s="155">
        <f t="shared" ca="1" si="20"/>
        <v>37</v>
      </c>
      <c r="F42" s="155">
        <f t="shared" ca="1" si="21"/>
        <v>27</v>
      </c>
      <c r="G42" s="155">
        <f t="shared" ca="1" si="22"/>
        <v>14</v>
      </c>
      <c r="H42" s="155">
        <f t="shared" ca="1" si="23"/>
        <v>10</v>
      </c>
      <c r="I42" s="203">
        <f t="shared" ca="1" si="24"/>
        <v>7</v>
      </c>
      <c r="J42" s="213"/>
      <c r="K42" s="202">
        <v>17</v>
      </c>
      <c r="L42" s="155">
        <f t="shared" ca="1" si="11"/>
        <v>122</v>
      </c>
      <c r="M42" s="155">
        <f t="shared" ca="1" si="12"/>
        <v>98</v>
      </c>
      <c r="N42" s="155">
        <f t="shared" ca="1" si="13"/>
        <v>58</v>
      </c>
      <c r="O42" s="155">
        <f t="shared" ca="1" si="14"/>
        <v>23</v>
      </c>
      <c r="P42" s="155">
        <f t="shared" ca="1" si="15"/>
        <v>20</v>
      </c>
      <c r="Q42" s="155">
        <f t="shared" ca="1" si="16"/>
        <v>10</v>
      </c>
      <c r="R42" s="203">
        <f t="shared" ca="1" si="17"/>
        <v>4</v>
      </c>
    </row>
    <row r="43" spans="2:18" ht="18.75" x14ac:dyDescent="0.3">
      <c r="B43" s="202">
        <v>5</v>
      </c>
      <c r="C43" s="155">
        <f t="shared" ca="1" si="18"/>
        <v>91</v>
      </c>
      <c r="D43" s="155">
        <f t="shared" ca="1" si="19"/>
        <v>71</v>
      </c>
      <c r="E43" s="155">
        <f t="shared" ca="1" si="20"/>
        <v>49</v>
      </c>
      <c r="F43" s="155">
        <f t="shared" ca="1" si="21"/>
        <v>30</v>
      </c>
      <c r="G43" s="155">
        <f t="shared" ca="1" si="22"/>
        <v>12</v>
      </c>
      <c r="H43" s="155">
        <f t="shared" ca="1" si="23"/>
        <v>8</v>
      </c>
      <c r="I43" s="203">
        <f t="shared" ca="1" si="24"/>
        <v>5</v>
      </c>
      <c r="J43" s="213"/>
      <c r="K43" s="202">
        <v>18</v>
      </c>
      <c r="L43" s="155">
        <f t="shared" ca="1" si="11"/>
        <v>116</v>
      </c>
      <c r="M43" s="155">
        <f t="shared" ca="1" si="12"/>
        <v>70</v>
      </c>
      <c r="N43" s="155">
        <f t="shared" ca="1" si="13"/>
        <v>42</v>
      </c>
      <c r="O43" s="155">
        <f t="shared" ca="1" si="14"/>
        <v>32</v>
      </c>
      <c r="P43" s="155">
        <f t="shared" ca="1" si="15"/>
        <v>13</v>
      </c>
      <c r="Q43" s="155">
        <f t="shared" ca="1" si="16"/>
        <v>7</v>
      </c>
      <c r="R43" s="203">
        <f t="shared" ca="1" si="17"/>
        <v>3</v>
      </c>
    </row>
    <row r="44" spans="2:18" ht="18.75" x14ac:dyDescent="0.3">
      <c r="B44" s="202">
        <v>6</v>
      </c>
      <c r="C44" s="155">
        <f t="shared" ca="1" si="18"/>
        <v>207</v>
      </c>
      <c r="D44" s="155">
        <f t="shared" ca="1" si="19"/>
        <v>82</v>
      </c>
      <c r="E44" s="155">
        <f t="shared" ca="1" si="20"/>
        <v>45</v>
      </c>
      <c r="F44" s="155">
        <f t="shared" ca="1" si="21"/>
        <v>33</v>
      </c>
      <c r="G44" s="155">
        <f t="shared" ca="1" si="22"/>
        <v>14</v>
      </c>
      <c r="H44" s="155">
        <f t="shared" ca="1" si="23"/>
        <v>7</v>
      </c>
      <c r="I44" s="203">
        <f t="shared" ca="1" si="24"/>
        <v>4</v>
      </c>
      <c r="J44" s="213"/>
      <c r="K44" s="202">
        <v>19</v>
      </c>
      <c r="L44" s="155">
        <f t="shared" ca="1" si="11"/>
        <v>280</v>
      </c>
      <c r="M44" s="155">
        <f t="shared" ca="1" si="12"/>
        <v>86</v>
      </c>
      <c r="N44" s="155">
        <f t="shared" ca="1" si="13"/>
        <v>38</v>
      </c>
      <c r="O44" s="155">
        <f t="shared" ca="1" si="14"/>
        <v>29</v>
      </c>
      <c r="P44" s="155">
        <f t="shared" ca="1" si="15"/>
        <v>12</v>
      </c>
      <c r="Q44" s="155">
        <f t="shared" ca="1" si="16"/>
        <v>9</v>
      </c>
      <c r="R44" s="203">
        <f t="shared" ca="1" si="17"/>
        <v>7</v>
      </c>
    </row>
    <row r="45" spans="2:18" ht="18.75" x14ac:dyDescent="0.3">
      <c r="B45" s="202">
        <v>7</v>
      </c>
      <c r="C45" s="155">
        <f t="shared" ca="1" si="18"/>
        <v>224</v>
      </c>
      <c r="D45" s="155">
        <f t="shared" ca="1" si="19"/>
        <v>79</v>
      </c>
      <c r="E45" s="155">
        <f t="shared" ca="1" si="20"/>
        <v>60</v>
      </c>
      <c r="F45" s="155">
        <f t="shared" ca="1" si="21"/>
        <v>31</v>
      </c>
      <c r="G45" s="155">
        <f t="shared" ca="1" si="22"/>
        <v>17</v>
      </c>
      <c r="H45" s="155">
        <f t="shared" ca="1" si="23"/>
        <v>10</v>
      </c>
      <c r="I45" s="203">
        <f t="shared" ca="1" si="24"/>
        <v>2</v>
      </c>
      <c r="J45" s="213"/>
      <c r="K45" s="202">
        <v>20</v>
      </c>
      <c r="L45" s="155">
        <f t="shared" ca="1" si="11"/>
        <v>99</v>
      </c>
      <c r="M45" s="155">
        <f t="shared" ca="1" si="12"/>
        <v>90</v>
      </c>
      <c r="N45" s="155">
        <f t="shared" ca="1" si="13"/>
        <v>47</v>
      </c>
      <c r="O45" s="155">
        <f t="shared" ca="1" si="14"/>
        <v>24</v>
      </c>
      <c r="P45" s="155">
        <f t="shared" ca="1" si="15"/>
        <v>15</v>
      </c>
      <c r="Q45" s="155">
        <f t="shared" ca="1" si="16"/>
        <v>9</v>
      </c>
      <c r="R45" s="203">
        <f t="shared" ca="1" si="17"/>
        <v>7</v>
      </c>
    </row>
    <row r="46" spans="2:18" ht="18.75" x14ac:dyDescent="0.3">
      <c r="B46" s="202">
        <v>8</v>
      </c>
      <c r="C46" s="155">
        <f t="shared" ca="1" si="18"/>
        <v>266</v>
      </c>
      <c r="D46" s="155">
        <f t="shared" ca="1" si="19"/>
        <v>90</v>
      </c>
      <c r="E46" s="155">
        <f t="shared" ca="1" si="20"/>
        <v>46</v>
      </c>
      <c r="F46" s="155">
        <f t="shared" ca="1" si="21"/>
        <v>29</v>
      </c>
      <c r="G46" s="155">
        <f t="shared" ca="1" si="22"/>
        <v>18</v>
      </c>
      <c r="H46" s="155">
        <f t="shared" ca="1" si="23"/>
        <v>8</v>
      </c>
      <c r="I46" s="203">
        <f t="shared" ca="1" si="24"/>
        <v>5</v>
      </c>
      <c r="J46" s="213"/>
      <c r="K46" s="202">
        <v>21</v>
      </c>
      <c r="L46" s="155">
        <f t="shared" ca="1" si="11"/>
        <v>165</v>
      </c>
      <c r="M46" s="155">
        <f t="shared" ca="1" si="12"/>
        <v>93</v>
      </c>
      <c r="N46" s="155">
        <f t="shared" ca="1" si="13"/>
        <v>47</v>
      </c>
      <c r="O46" s="155">
        <f t="shared" ca="1" si="14"/>
        <v>23</v>
      </c>
      <c r="P46" s="155">
        <f t="shared" ca="1" si="15"/>
        <v>18</v>
      </c>
      <c r="Q46" s="155">
        <f t="shared" ca="1" si="16"/>
        <v>9</v>
      </c>
      <c r="R46" s="203">
        <f t="shared" ca="1" si="17"/>
        <v>8</v>
      </c>
    </row>
    <row r="47" spans="2:18" ht="18.75" x14ac:dyDescent="0.3">
      <c r="B47" s="202">
        <v>9</v>
      </c>
      <c r="C47" s="155">
        <f t="shared" ca="1" si="18"/>
        <v>193</v>
      </c>
      <c r="D47" s="155">
        <f t="shared" ca="1" si="19"/>
        <v>83</v>
      </c>
      <c r="E47" s="155">
        <f t="shared" ca="1" si="20"/>
        <v>45</v>
      </c>
      <c r="F47" s="155">
        <f t="shared" ca="1" si="21"/>
        <v>26</v>
      </c>
      <c r="G47" s="155">
        <f t="shared" ca="1" si="22"/>
        <v>14</v>
      </c>
      <c r="H47" s="155">
        <f t="shared" ca="1" si="23"/>
        <v>10</v>
      </c>
      <c r="I47" s="203">
        <f t="shared" ca="1" si="24"/>
        <v>6</v>
      </c>
      <c r="J47" s="213"/>
      <c r="K47" s="202">
        <v>22</v>
      </c>
      <c r="L47" s="155">
        <f t="shared" ca="1" si="11"/>
        <v>113</v>
      </c>
      <c r="M47" s="155">
        <f t="shared" ca="1" si="12"/>
        <v>80</v>
      </c>
      <c r="N47" s="155">
        <f t="shared" ca="1" si="13"/>
        <v>56</v>
      </c>
      <c r="O47" s="155">
        <f t="shared" ca="1" si="14"/>
        <v>33</v>
      </c>
      <c r="P47" s="155">
        <f t="shared" ca="1" si="15"/>
        <v>17</v>
      </c>
      <c r="Q47" s="155">
        <f t="shared" ca="1" si="16"/>
        <v>8</v>
      </c>
      <c r="R47" s="203">
        <f t="shared" ca="1" si="17"/>
        <v>4</v>
      </c>
    </row>
    <row r="48" spans="2:18" ht="18.75" x14ac:dyDescent="0.3">
      <c r="B48" s="202">
        <v>10</v>
      </c>
      <c r="C48" s="155">
        <f t="shared" ca="1" si="18"/>
        <v>248</v>
      </c>
      <c r="D48" s="155">
        <f t="shared" ca="1" si="19"/>
        <v>91</v>
      </c>
      <c r="E48" s="155">
        <f t="shared" ca="1" si="20"/>
        <v>44</v>
      </c>
      <c r="F48" s="155">
        <f t="shared" ca="1" si="21"/>
        <v>31</v>
      </c>
      <c r="G48" s="155">
        <f t="shared" ca="1" si="22"/>
        <v>20</v>
      </c>
      <c r="H48" s="155">
        <f t="shared" ca="1" si="23"/>
        <v>10</v>
      </c>
      <c r="I48" s="203">
        <f t="shared" ca="1" si="24"/>
        <v>3</v>
      </c>
      <c r="J48" s="213"/>
      <c r="K48" s="202">
        <v>23</v>
      </c>
      <c r="L48" s="155">
        <f t="shared" ca="1" si="11"/>
        <v>272</v>
      </c>
      <c r="M48" s="155">
        <f t="shared" ca="1" si="12"/>
        <v>68</v>
      </c>
      <c r="N48" s="155">
        <f t="shared" ca="1" si="13"/>
        <v>35</v>
      </c>
      <c r="O48" s="155">
        <f t="shared" ca="1" si="14"/>
        <v>29</v>
      </c>
      <c r="P48" s="155">
        <f t="shared" ca="1" si="15"/>
        <v>13</v>
      </c>
      <c r="Q48" s="155">
        <f t="shared" ca="1" si="16"/>
        <v>7</v>
      </c>
      <c r="R48" s="203">
        <f t="shared" ca="1" si="17"/>
        <v>7</v>
      </c>
    </row>
    <row r="49" spans="2:18" ht="18.75" x14ac:dyDescent="0.3">
      <c r="B49" s="202">
        <v>11</v>
      </c>
      <c r="C49" s="155">
        <f t="shared" ca="1" si="18"/>
        <v>211</v>
      </c>
      <c r="D49" s="155">
        <f t="shared" ca="1" si="19"/>
        <v>83</v>
      </c>
      <c r="E49" s="155">
        <f t="shared" ca="1" si="20"/>
        <v>36</v>
      </c>
      <c r="F49" s="155">
        <f t="shared" ca="1" si="21"/>
        <v>22</v>
      </c>
      <c r="G49" s="155">
        <f t="shared" ca="1" si="22"/>
        <v>20</v>
      </c>
      <c r="H49" s="155">
        <f t="shared" ca="1" si="23"/>
        <v>10</v>
      </c>
      <c r="I49" s="203">
        <f t="shared" ca="1" si="24"/>
        <v>3</v>
      </c>
      <c r="J49" s="213"/>
      <c r="K49" s="202">
        <v>24</v>
      </c>
      <c r="L49" s="155">
        <f t="shared" ca="1" si="11"/>
        <v>158</v>
      </c>
      <c r="M49" s="155">
        <f t="shared" ca="1" si="12"/>
        <v>87</v>
      </c>
      <c r="N49" s="155">
        <f t="shared" ca="1" si="13"/>
        <v>54</v>
      </c>
      <c r="O49" s="155">
        <f t="shared" ca="1" si="14"/>
        <v>23</v>
      </c>
      <c r="P49" s="155">
        <f t="shared" ca="1" si="15"/>
        <v>15</v>
      </c>
      <c r="Q49" s="155">
        <f t="shared" ca="1" si="16"/>
        <v>9</v>
      </c>
      <c r="R49" s="203">
        <f t="shared" ca="1" si="17"/>
        <v>4</v>
      </c>
    </row>
    <row r="50" spans="2:18" ht="18.75" x14ac:dyDescent="0.3">
      <c r="B50" s="202">
        <v>12</v>
      </c>
      <c r="C50" s="155">
        <f t="shared" ca="1" si="18"/>
        <v>198</v>
      </c>
      <c r="D50" s="155">
        <f t="shared" ca="1" si="19"/>
        <v>92</v>
      </c>
      <c r="E50" s="155">
        <f t="shared" ca="1" si="20"/>
        <v>47</v>
      </c>
      <c r="F50" s="155">
        <f t="shared" ca="1" si="21"/>
        <v>21</v>
      </c>
      <c r="G50" s="155">
        <f t="shared" ca="1" si="22"/>
        <v>14</v>
      </c>
      <c r="H50" s="155">
        <f t="shared" ca="1" si="23"/>
        <v>10</v>
      </c>
      <c r="I50" s="203">
        <f t="shared" ca="1" si="24"/>
        <v>5</v>
      </c>
      <c r="J50" s="213"/>
      <c r="K50" s="202">
        <v>25</v>
      </c>
      <c r="L50" s="155">
        <f t="shared" ca="1" si="11"/>
        <v>217</v>
      </c>
      <c r="M50" s="155">
        <f t="shared" ca="1" si="12"/>
        <v>90</v>
      </c>
      <c r="N50" s="155">
        <f t="shared" ca="1" si="13"/>
        <v>59</v>
      </c>
      <c r="O50" s="155">
        <f t="shared" ca="1" si="14"/>
        <v>26</v>
      </c>
      <c r="P50" s="155">
        <f t="shared" ca="1" si="15"/>
        <v>16</v>
      </c>
      <c r="Q50" s="155">
        <f t="shared" ca="1" si="16"/>
        <v>8</v>
      </c>
      <c r="R50" s="203">
        <f t="shared" ca="1" si="17"/>
        <v>6</v>
      </c>
    </row>
    <row r="51" spans="2:18" ht="19.5" thickBot="1" x14ac:dyDescent="0.35">
      <c r="B51" s="204">
        <v>13</v>
      </c>
      <c r="C51" s="205">
        <f t="shared" ca="1" si="18"/>
        <v>198</v>
      </c>
      <c r="D51" s="205">
        <f t="shared" ca="1" si="19"/>
        <v>88</v>
      </c>
      <c r="E51" s="205">
        <f t="shared" ca="1" si="20"/>
        <v>60</v>
      </c>
      <c r="F51" s="205">
        <f t="shared" ca="1" si="21"/>
        <v>31</v>
      </c>
      <c r="G51" s="205">
        <f t="shared" ca="1" si="22"/>
        <v>13</v>
      </c>
      <c r="H51" s="205">
        <f t="shared" ca="1" si="23"/>
        <v>8</v>
      </c>
      <c r="I51" s="206">
        <f t="shared" ca="1" si="24"/>
        <v>5</v>
      </c>
      <c r="J51" s="213"/>
      <c r="K51" s="204">
        <v>26</v>
      </c>
      <c r="L51" s="205">
        <f t="shared" ca="1" si="11"/>
        <v>249</v>
      </c>
      <c r="M51" s="205">
        <f t="shared" ca="1" si="12"/>
        <v>71</v>
      </c>
      <c r="N51" s="205">
        <f t="shared" ca="1" si="13"/>
        <v>45</v>
      </c>
      <c r="O51" s="205">
        <f t="shared" ca="1" si="14"/>
        <v>26</v>
      </c>
      <c r="P51" s="205">
        <f t="shared" ca="1" si="15"/>
        <v>14</v>
      </c>
      <c r="Q51" s="205">
        <f t="shared" ca="1" si="16"/>
        <v>8</v>
      </c>
      <c r="R51" s="206">
        <f t="shared" ca="1" si="17"/>
        <v>7</v>
      </c>
    </row>
    <row r="52" spans="2:18" ht="18.75" x14ac:dyDescent="0.3">
      <c r="B52" s="207">
        <v>14</v>
      </c>
      <c r="C52" s="208">
        <f t="shared" ca="1" si="18"/>
        <v>273</v>
      </c>
      <c r="D52" s="208">
        <f t="shared" ca="1" si="19"/>
        <v>66</v>
      </c>
      <c r="E52" s="208">
        <f t="shared" ca="1" si="20"/>
        <v>42</v>
      </c>
      <c r="F52" s="208">
        <f t="shared" ca="1" si="21"/>
        <v>32</v>
      </c>
      <c r="G52" s="208">
        <f t="shared" ca="1" si="22"/>
        <v>18</v>
      </c>
      <c r="H52" s="208">
        <f t="shared" ca="1" si="23"/>
        <v>10</v>
      </c>
      <c r="I52" s="209">
        <f t="shared" ca="1" si="24"/>
        <v>5</v>
      </c>
      <c r="J52" s="213"/>
    </row>
    <row r="53" spans="2:18" ht="18.75" x14ac:dyDescent="0.3">
      <c r="B53" s="202">
        <v>15</v>
      </c>
      <c r="C53" s="155">
        <f t="shared" ca="1" si="18"/>
        <v>196</v>
      </c>
      <c r="D53" s="155">
        <f t="shared" ca="1" si="19"/>
        <v>68</v>
      </c>
      <c r="E53" s="155">
        <f t="shared" ca="1" si="20"/>
        <v>38</v>
      </c>
      <c r="F53" s="155">
        <f t="shared" ca="1" si="21"/>
        <v>20</v>
      </c>
      <c r="G53" s="155">
        <f t="shared" ca="1" si="22"/>
        <v>15</v>
      </c>
      <c r="H53" s="155">
        <f t="shared" ca="1" si="23"/>
        <v>8</v>
      </c>
      <c r="I53" s="203">
        <f t="shared" ca="1" si="24"/>
        <v>5</v>
      </c>
      <c r="J53" s="213"/>
    </row>
    <row r="54" spans="2:18" ht="18.75" x14ac:dyDescent="0.3">
      <c r="B54" s="202">
        <v>16</v>
      </c>
      <c r="C54" s="155">
        <f t="shared" ca="1" si="18"/>
        <v>270</v>
      </c>
      <c r="D54" s="155">
        <f t="shared" ca="1" si="19"/>
        <v>77</v>
      </c>
      <c r="E54" s="155">
        <f t="shared" ca="1" si="20"/>
        <v>38</v>
      </c>
      <c r="F54" s="155">
        <f t="shared" ca="1" si="21"/>
        <v>23</v>
      </c>
      <c r="G54" s="155">
        <f t="shared" ca="1" si="22"/>
        <v>10</v>
      </c>
      <c r="H54" s="155">
        <f t="shared" ca="1" si="23"/>
        <v>10</v>
      </c>
      <c r="I54" s="203">
        <f t="shared" ca="1" si="24"/>
        <v>5</v>
      </c>
      <c r="J54" s="213"/>
    </row>
    <row r="55" spans="2:18" ht="18.75" x14ac:dyDescent="0.3">
      <c r="B55" s="202">
        <v>17</v>
      </c>
      <c r="C55" s="155">
        <f t="shared" ca="1" si="18"/>
        <v>283</v>
      </c>
      <c r="D55" s="155">
        <f t="shared" ca="1" si="19"/>
        <v>88</v>
      </c>
      <c r="E55" s="155">
        <f t="shared" ca="1" si="20"/>
        <v>52</v>
      </c>
      <c r="F55" s="155">
        <f t="shared" ca="1" si="21"/>
        <v>27</v>
      </c>
      <c r="G55" s="155">
        <f t="shared" ca="1" si="22"/>
        <v>11</v>
      </c>
      <c r="H55" s="155">
        <f t="shared" ca="1" si="23"/>
        <v>10</v>
      </c>
      <c r="I55" s="203">
        <f t="shared" ca="1" si="24"/>
        <v>2</v>
      </c>
      <c r="J55" s="213"/>
    </row>
    <row r="56" spans="2:18" ht="18.75" x14ac:dyDescent="0.3">
      <c r="B56" s="202">
        <v>18</v>
      </c>
      <c r="C56" s="155">
        <f t="shared" ca="1" si="18"/>
        <v>155</v>
      </c>
      <c r="D56" s="155">
        <f t="shared" ca="1" si="19"/>
        <v>94</v>
      </c>
      <c r="E56" s="155">
        <f t="shared" ca="1" si="20"/>
        <v>51</v>
      </c>
      <c r="F56" s="155">
        <f t="shared" ca="1" si="21"/>
        <v>32</v>
      </c>
      <c r="G56" s="155">
        <f t="shared" ca="1" si="22"/>
        <v>19</v>
      </c>
      <c r="H56" s="155">
        <f t="shared" ca="1" si="23"/>
        <v>7</v>
      </c>
      <c r="I56" s="203">
        <f t="shared" ca="1" si="24"/>
        <v>2</v>
      </c>
      <c r="J56" s="213"/>
    </row>
    <row r="57" spans="2:18" ht="18.75" x14ac:dyDescent="0.3">
      <c r="B57" s="202">
        <v>19</v>
      </c>
      <c r="C57" s="155">
        <f t="shared" ca="1" si="18"/>
        <v>243</v>
      </c>
      <c r="D57" s="155">
        <f t="shared" ca="1" si="19"/>
        <v>84</v>
      </c>
      <c r="E57" s="155">
        <f t="shared" ca="1" si="20"/>
        <v>43</v>
      </c>
      <c r="F57" s="155">
        <f t="shared" ca="1" si="21"/>
        <v>26</v>
      </c>
      <c r="G57" s="155">
        <f t="shared" ca="1" si="22"/>
        <v>15</v>
      </c>
      <c r="H57" s="155">
        <f t="shared" ca="1" si="23"/>
        <v>7</v>
      </c>
      <c r="I57" s="203">
        <f t="shared" ca="1" si="24"/>
        <v>6</v>
      </c>
      <c r="J57" s="213"/>
    </row>
    <row r="58" spans="2:18" ht="18.75" x14ac:dyDescent="0.3">
      <c r="B58" s="202">
        <v>20</v>
      </c>
      <c r="C58" s="155">
        <f t="shared" ca="1" si="18"/>
        <v>187</v>
      </c>
      <c r="D58" s="155">
        <f t="shared" ca="1" si="19"/>
        <v>91</v>
      </c>
      <c r="E58" s="155">
        <f t="shared" ca="1" si="20"/>
        <v>50</v>
      </c>
      <c r="F58" s="155">
        <f t="shared" ca="1" si="21"/>
        <v>28</v>
      </c>
      <c r="G58" s="155">
        <f t="shared" ca="1" si="22"/>
        <v>19</v>
      </c>
      <c r="H58" s="155">
        <f t="shared" ca="1" si="23"/>
        <v>10</v>
      </c>
      <c r="I58" s="203">
        <f t="shared" ca="1" si="24"/>
        <v>5</v>
      </c>
      <c r="J58" s="213"/>
    </row>
    <row r="59" spans="2:18" ht="18.75" x14ac:dyDescent="0.3">
      <c r="B59" s="202">
        <v>21</v>
      </c>
      <c r="C59" s="155">
        <f t="shared" ca="1" si="18"/>
        <v>176</v>
      </c>
      <c r="D59" s="155">
        <f t="shared" ca="1" si="19"/>
        <v>95</v>
      </c>
      <c r="E59" s="155">
        <f t="shared" ca="1" si="20"/>
        <v>40</v>
      </c>
      <c r="F59" s="155">
        <f t="shared" ca="1" si="21"/>
        <v>25</v>
      </c>
      <c r="G59" s="155">
        <f t="shared" ca="1" si="22"/>
        <v>15</v>
      </c>
      <c r="H59" s="155">
        <f t="shared" ca="1" si="23"/>
        <v>10</v>
      </c>
      <c r="I59" s="203">
        <f t="shared" ca="1" si="24"/>
        <v>3</v>
      </c>
      <c r="J59" s="213"/>
    </row>
    <row r="60" spans="2:18" ht="18.75" x14ac:dyDescent="0.3">
      <c r="B60" s="202">
        <v>22</v>
      </c>
      <c r="C60" s="155">
        <f t="shared" ca="1" si="18"/>
        <v>201</v>
      </c>
      <c r="D60" s="155">
        <f t="shared" ca="1" si="19"/>
        <v>82</v>
      </c>
      <c r="E60" s="155">
        <f t="shared" ca="1" si="20"/>
        <v>49</v>
      </c>
      <c r="F60" s="155">
        <f t="shared" ca="1" si="21"/>
        <v>26</v>
      </c>
      <c r="G60" s="155">
        <f t="shared" ca="1" si="22"/>
        <v>20</v>
      </c>
      <c r="H60" s="155">
        <f t="shared" ca="1" si="23"/>
        <v>10</v>
      </c>
      <c r="I60" s="203">
        <f t="shared" ca="1" si="24"/>
        <v>5</v>
      </c>
      <c r="J60" s="213"/>
    </row>
    <row r="61" spans="2:18" ht="18.75" x14ac:dyDescent="0.3">
      <c r="B61" s="202">
        <v>23</v>
      </c>
      <c r="C61" s="155">
        <f t="shared" ca="1" si="18"/>
        <v>97</v>
      </c>
      <c r="D61" s="155">
        <f t="shared" ca="1" si="19"/>
        <v>75</v>
      </c>
      <c r="E61" s="155">
        <f t="shared" ca="1" si="20"/>
        <v>40</v>
      </c>
      <c r="F61" s="155">
        <f t="shared" ca="1" si="21"/>
        <v>28</v>
      </c>
      <c r="G61" s="155">
        <f t="shared" ca="1" si="22"/>
        <v>16</v>
      </c>
      <c r="H61" s="155">
        <f t="shared" ca="1" si="23"/>
        <v>8</v>
      </c>
      <c r="I61" s="203">
        <f t="shared" ca="1" si="24"/>
        <v>2</v>
      </c>
      <c r="J61" s="213"/>
    </row>
    <row r="62" spans="2:18" ht="18.75" x14ac:dyDescent="0.3">
      <c r="B62" s="202">
        <v>24</v>
      </c>
      <c r="C62" s="155">
        <f t="shared" ca="1" si="18"/>
        <v>268</v>
      </c>
      <c r="D62" s="155">
        <f t="shared" ca="1" si="19"/>
        <v>83</v>
      </c>
      <c r="E62" s="155">
        <f t="shared" ca="1" si="20"/>
        <v>60</v>
      </c>
      <c r="F62" s="155">
        <f t="shared" ca="1" si="21"/>
        <v>29</v>
      </c>
      <c r="G62" s="155">
        <f t="shared" ca="1" si="22"/>
        <v>12</v>
      </c>
      <c r="H62" s="155">
        <f t="shared" ca="1" si="23"/>
        <v>7</v>
      </c>
      <c r="I62" s="203">
        <f t="shared" ca="1" si="24"/>
        <v>6</v>
      </c>
      <c r="J62" s="213"/>
    </row>
    <row r="63" spans="2:18" ht="18.75" x14ac:dyDescent="0.3">
      <c r="B63" s="202">
        <v>25</v>
      </c>
      <c r="C63" s="155">
        <f t="shared" ca="1" si="18"/>
        <v>256</v>
      </c>
      <c r="D63" s="155">
        <f t="shared" ca="1" si="19"/>
        <v>72</v>
      </c>
      <c r="E63" s="155">
        <f t="shared" ca="1" si="20"/>
        <v>42</v>
      </c>
      <c r="F63" s="155">
        <f t="shared" ca="1" si="21"/>
        <v>21</v>
      </c>
      <c r="G63" s="155">
        <f t="shared" ca="1" si="22"/>
        <v>16</v>
      </c>
      <c r="H63" s="155">
        <f t="shared" ca="1" si="23"/>
        <v>9</v>
      </c>
      <c r="I63" s="203">
        <f t="shared" ca="1" si="24"/>
        <v>4</v>
      </c>
      <c r="J63" s="213"/>
    </row>
    <row r="64" spans="2:18" ht="19.5" thickBot="1" x14ac:dyDescent="0.35">
      <c r="B64" s="204">
        <v>26</v>
      </c>
      <c r="C64" s="155">
        <f t="shared" ca="1" si="18"/>
        <v>165</v>
      </c>
      <c r="D64" s="155">
        <f t="shared" ca="1" si="19"/>
        <v>68</v>
      </c>
      <c r="E64" s="155">
        <f t="shared" ca="1" si="20"/>
        <v>44</v>
      </c>
      <c r="F64" s="155">
        <f t="shared" ca="1" si="21"/>
        <v>30</v>
      </c>
      <c r="G64" s="155">
        <f t="shared" ca="1" si="22"/>
        <v>19</v>
      </c>
      <c r="H64" s="155">
        <f t="shared" ca="1" si="23"/>
        <v>7</v>
      </c>
      <c r="I64" s="203">
        <f t="shared" ca="1" si="24"/>
        <v>6</v>
      </c>
      <c r="J64" s="213"/>
    </row>
  </sheetData>
  <mergeCells count="12">
    <mergeCell ref="K4:K6"/>
    <mergeCell ref="L4:R4"/>
    <mergeCell ref="L6:R6"/>
    <mergeCell ref="B36:B38"/>
    <mergeCell ref="C36:I36"/>
    <mergeCell ref="C38:I38"/>
    <mergeCell ref="K36:K38"/>
    <mergeCell ref="L36:R36"/>
    <mergeCell ref="L38:R38"/>
    <mergeCell ref="B4:B6"/>
    <mergeCell ref="C4:I4"/>
    <mergeCell ref="C6:I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zoomScale="340" zoomScaleNormal="340" workbookViewId="0">
      <selection activeCell="B2" sqref="B2"/>
    </sheetView>
  </sheetViews>
  <sheetFormatPr defaultRowHeight="15" x14ac:dyDescent="0.25"/>
  <cols>
    <col min="2" max="2" width="15.5703125" customWidth="1"/>
  </cols>
  <sheetData>
    <row r="1" spans="1:2" ht="18.75" x14ac:dyDescent="0.3">
      <c r="A1" s="36" t="s">
        <v>361</v>
      </c>
      <c r="B1" s="36">
        <v>0.47499999999999998</v>
      </c>
    </row>
    <row r="2" spans="1:2" ht="18.75" x14ac:dyDescent="0.3">
      <c r="A2" s="36" t="s">
        <v>362</v>
      </c>
      <c r="B2" s="36">
        <f>_xlfn.NORM.S.INV(B1+0.5)</f>
        <v>1.9599639845400536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Лист7 (2)</vt:lpstr>
      <vt:lpstr>Лист7 (3)</vt:lpstr>
      <vt:lpstr>Лист8</vt:lpstr>
      <vt:lpstr>Лист10</vt:lpstr>
      <vt:lpstr>Лист9</vt:lpstr>
      <vt:lpstr>Лист11</vt:lpstr>
      <vt:lpstr>Лист12</vt:lpstr>
      <vt:lpstr>Лист13</vt:lpstr>
      <vt:lpstr>Лист13 (2)</vt:lpstr>
      <vt:lpstr>Лист14</vt:lpstr>
      <vt:lpstr>Лаплас</vt:lpstr>
      <vt:lpstr>Х2распред</vt:lpstr>
      <vt:lpstr>Лист17</vt:lpstr>
      <vt:lpstr>Лист18</vt:lpstr>
      <vt:lpstr>pz1</vt:lpstr>
      <vt:lpstr>pz1 (2)</vt:lpstr>
      <vt:lpstr>pz1 (3)</vt:lpstr>
      <vt:lpstr>pz3</vt:lpstr>
      <vt:lpstr>pz4</vt:lpstr>
      <vt:lpstr>pz4 (2)</vt:lpstr>
      <vt:lpstr>pz5</vt:lpstr>
      <vt:lpstr>pz6</vt:lpstr>
      <vt:lpstr>pz9</vt:lpstr>
      <vt:lpstr>pz10</vt:lpstr>
      <vt:lpstr>pz11</vt:lpstr>
      <vt:lpstr>pz12</vt:lpstr>
      <vt:lpstr>pz12 (2)</vt:lpstr>
      <vt:lpstr>pz12 (3)</vt:lpstr>
      <vt:lpstr>pz12 (4)</vt:lpstr>
      <vt:lpstr>pz13</vt:lpstr>
      <vt:lpstr>Лист15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2022-06-25T12:59:17Z</dcterms:modified>
</cp:coreProperties>
</file>